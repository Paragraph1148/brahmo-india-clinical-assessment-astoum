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rugs" sheetId="2" state="visible" r:id="rId4"/>
    <sheet name="drug_interactions" sheetId="3" state="visible" r:id="rId5"/>
    <sheet name="indian_guidelines" sheetId="4" state="visible" r:id="rId6"/>
    <sheet name="hospital_formul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<sst xmlns="http://schemas.openxmlformats.org/spreadsheetml/2006/main" count="1184" uniqueCount="701">
  <si>
    <t xml:space="preserve">BRAHMO Clinical AI — Research Workbook</t>
  </si>
  <si>
    <t xml:space="preserve">Schema matches the starter prompt EXACTLY:</t>
  </si>
  <si>
    <t xml:space="preserve">  Sheet 1: drugs — id, generic_name, generic_name_normalized, drug_class, drug_subclass,</t>
  </si>
  <si>
    <t xml:space="preserve">           indian_brand_name, manufacturer, mrp_price, nlem_status, renal_dosing (JSONB),</t>
  </si>
  <si>
    <t xml:space="preserve">           hf_safe, weight_effect, hypoglycemia_risk, condition_tags (JSONB)</t>
  </si>
  <si>
    <t xml:space="preserve">  Sheet 2: drug_interactions — drug_a_id, drug_b_id, severity, mechanism, clinical_effect, management</t>
  </si>
  <si>
    <t xml:space="preserve">           (drug_a_name and drug_b_name columns are convenience — drop when seeding to Supabase)</t>
  </si>
  <si>
    <t xml:space="preserve">  Sheet 3: indian_guidelines — source_id, condition, section, recommendation, evidence_level, condition_tags</t>
  </si>
  <si>
    <t xml:space="preserve">  Sheet 4: hospital_formulary — drug_id, in_stock, stock_level, pharmacy_notes</t>
  </si>
  <si>
    <t xml:space="preserve">YELLOW HIGHLIGHTED CELLS = YOU MUST VERIFY ON 1mg.com</t>
  </si>
  <si>
    <t xml:space="preserve">  → indian_brand_name</t>
  </si>
  <si>
    <t xml:space="preserve">  → manufacturer</t>
  </si>
  <si>
    <t xml:space="preserve">  → mrp_price (replace '₹VERIFY/strip' with actual price)</t>
  </si>
  <si>
    <t xml:space="preserve">  → source_url (paste the actual product URL you verified from)</t>
  </si>
  <si>
    <t xml:space="preserve">Everything else (drug_class, renal_dosing, hf_safe, hypoglycemia_risk, NLEM status,</t>
  </si>
  <si>
    <t xml:space="preserve">RSSDI/CSI guidelines, interactions) is researched from official sources — see data_sources.md.</t>
  </si>
  <si>
    <t xml:space="preserve">48 drugs / 30 interactions / 29 guidelines / 48 formulary entries.</t>
  </si>
  <si>
    <t xml:space="preserve">This covers all 6 demo patients AND broad surprise-test scenarios.</t>
  </si>
  <si>
    <t xml:space="preserve">WORKFLOW:</t>
  </si>
  <si>
    <t xml:space="preserve">  1. Open this xlsx in LibreOffice Calc.</t>
  </si>
  <si>
    <t xml:space="preserve">  2. For each drug with yellow cells, open the source_url in browser.</t>
  </si>
  <si>
    <t xml:space="preserve">  3. Copy the brand name, manufacturer, and ₹ MRP from 1mg.com.</t>
  </si>
  <si>
    <t xml:space="preserve">  4. Paste into the yellow cells, replacing 'VERIFY' placeholders.</t>
  </si>
  <si>
    <t xml:space="preserve">  5. Once done, export each sheet as CSV → load into Supabase via seed.sql.</t>
  </si>
  <si>
    <t xml:space="preserve">id</t>
  </si>
  <si>
    <t xml:space="preserve">generic_name</t>
  </si>
  <si>
    <t xml:space="preserve">generic_name_normalized</t>
  </si>
  <si>
    <t xml:space="preserve">drug_class</t>
  </si>
  <si>
    <t xml:space="preserve">drug_subclass</t>
  </si>
  <si>
    <t xml:space="preserve">indian_brand_name</t>
  </si>
  <si>
    <t xml:space="preserve">manufacturer</t>
  </si>
  <si>
    <t xml:space="preserve">mrp_price</t>
  </si>
  <si>
    <t xml:space="preserve">nlem_status</t>
  </si>
  <si>
    <t xml:space="preserve">renal_dosing</t>
  </si>
  <si>
    <t xml:space="preserve">hf_safe</t>
  </si>
  <si>
    <t xml:space="preserve">weight_effect</t>
  </si>
  <si>
    <t xml:space="preserve">hypoglycemia_risk</t>
  </si>
  <si>
    <t xml:space="preserve">condition_tags</t>
  </si>
  <si>
    <t xml:space="preserve">source_url</t>
  </si>
  <si>
    <t xml:space="preserve">notes</t>
  </si>
  <si>
    <t xml:space="preserve">Metformin</t>
  </si>
  <si>
    <t xml:space="preserve">metformin</t>
  </si>
  <si>
    <t xml:space="preserve">Biguanide</t>
  </si>
  <si>
    <t xml:space="preserve">—</t>
  </si>
  <si>
    <t xml:space="preserve">Glyciphage SR</t>
  </si>
  <si>
    <t xml:space="preserve">Franco-Indian Pharmaceuticals Private Ltd</t>
  </si>
  <si>
    <t xml:space="preserve">26.62/strip of 10 (500mg)</t>
  </si>
  <si>
    <t xml:space="preserve">{"egfr_45_plus": "full dose", "egfr_30_45": "reduce 50%", "egfr_below_30": "STOP"}</t>
  </si>
  <si>
    <t xml:space="preserve">neutral</t>
  </si>
  <si>
    <t xml:space="preserve">low</t>
  </si>
  <si>
    <t xml:space="preserve">["diabetes"]</t>
  </si>
  <si>
    <t xml:space="preserve">https://www.1mg.com/drugs/glyciphage-sr-500mg-tablet-149311</t>
  </si>
  <si>
    <t xml:space="preserve">First-line. NLEM. Hold 48h pre/post contrast. B12 deficiency on prolonged use.</t>
  </si>
  <si>
    <t xml:space="preserve">Glimepiride</t>
  </si>
  <si>
    <t xml:space="preserve">glimepiride</t>
  </si>
  <si>
    <t xml:space="preserve">Sulfonylurea</t>
  </si>
  <si>
    <t xml:space="preserve">2nd-gen SU</t>
  </si>
  <si>
    <t xml:space="preserve">Amaryl</t>
  </si>
  <si>
    <t xml:space="preserve">Sanofi India Ltd</t>
  </si>
  <si>
    <t xml:space="preserve">₹115/strip of 10 (1mg)</t>
  </si>
  <si>
    <t xml:space="preserve">{"egfr_60_plus": "full dose", "egfr_30_60": "reduce, caution", "egfr_below_30": "STOP - hypoglycemia"}</t>
  </si>
  <si>
    <t xml:space="preserve">gain</t>
  </si>
  <si>
    <t xml:space="preserve">high</t>
  </si>
  <si>
    <t xml:space="preserve">https://www.1mg.com/drugs/amaryl-1mg-tablet-12155</t>
  </si>
  <si>
    <t xml:space="preserve">Hypoglycemia risk HIGH in elderly, CKD, beta-blockers (masks symptoms).</t>
  </si>
  <si>
    <t xml:space="preserve">Gliclazide</t>
  </si>
  <si>
    <t xml:space="preserve">gliclazide</t>
  </si>
  <si>
    <t xml:space="preserve">Glizid MR</t>
  </si>
  <si>
    <t xml:space="preserve">Mankind Pharma Ltd</t>
  </si>
  <si>
    <t xml:space="preserve">₹71.2/strip of 10 (30mg)</t>
  </si>
  <si>
    <t xml:space="preserve">{"egfr_30_plus": "use cautiously", "egfr_below_30": "avoid"}</t>
  </si>
  <si>
    <t xml:space="preserve">moderate</t>
  </si>
  <si>
    <t xml:space="preserve">https://www.1mg.com/drugs/glizid-mr-30-tablet-11796</t>
  </si>
  <si>
    <t xml:space="preserve">Preferred SU in India - lower hypoglycemia vs glimepiride.</t>
  </si>
  <si>
    <t xml:space="preserve">Glibenclamide</t>
  </si>
  <si>
    <t xml:space="preserve">glibenclamide</t>
  </si>
  <si>
    <t xml:space="preserve">1st-gen SU</t>
  </si>
  <si>
    <t xml:space="preserve">Daonil</t>
  </si>
  <si>
    <t xml:space="preserve">₹58.9/strip of 30 (5mg)</t>
  </si>
  <si>
    <t xml:space="preserve">{"egfr_60_plus": "use cautiously", "egfr_below_60": "STOP"}</t>
  </si>
  <si>
    <t xml:space="preserve">https://www.1mg.com/drugs/daonil-tablet-333076</t>
  </si>
  <si>
    <t xml:space="preserve">Older SU. Avoid in elderly and CKD. Highest hypoglycemia risk.</t>
  </si>
  <si>
    <t xml:space="preserve">Teneligliptin</t>
  </si>
  <si>
    <t xml:space="preserve">teneligliptin</t>
  </si>
  <si>
    <t xml:space="preserve">DPP4 inhibitor</t>
  </si>
  <si>
    <t xml:space="preserve">Dynaglipt Tablet</t>
  </si>
  <si>
    <t xml:space="preserve">₹84.8/strip of 10 (20mg)</t>
  </si>
  <si>
    <t xml:space="preserve">{"egfr_all": "no dose adjustment"}</t>
  </si>
  <si>
    <t xml:space="preserve">https://www.1mg.com/drugs/dynaglipt-tablet-323687</t>
  </si>
  <si>
    <t xml:space="preserve">INDIA's #1 DPP4i. Very rare in US/UK. Affordable (~₹6-8/tablet). Renal-safe.</t>
  </si>
  <si>
    <t xml:space="preserve">Sitagliptin</t>
  </si>
  <si>
    <t xml:space="preserve">sitagliptin</t>
  </si>
  <si>
    <t xml:space="preserve">Sitasys</t>
  </si>
  <si>
    <t xml:space="preserve">Systopic Laboratories Pvt Ltd</t>
  </si>
  <si>
    <t xml:space="preserve">₹74.6/strip of 10 (100mg)</t>
  </si>
  <si>
    <t xml:space="preserve">{"egfr_45_plus": "100mg", "egfr_30_45": "50mg", "egfr_below_30": "25mg"}</t>
  </si>
  <si>
    <t xml:space="preserve">https://www.1mg.com/drugs/sitasys-100mg-tablet-857560</t>
  </si>
  <si>
    <t xml:space="preserve">Renal dose adjustment needed. Generally well tolerated.</t>
  </si>
  <si>
    <t xml:space="preserve">Vildagliptin</t>
  </si>
  <si>
    <t xml:space="preserve">vildagliptin</t>
  </si>
  <si>
    <t xml:space="preserve">Glyday</t>
  </si>
  <si>
    <t xml:space="preserve">Elsker lifescience Pvt. Ltd.</t>
  </si>
  <si>
    <t xml:space="preserve">₹103/strip of 10 (50mg)</t>
  </si>
  <si>
    <t xml:space="preserve">{"egfr_50_plus": "50mg BD", "egfr_below_50": "50mg OD"}</t>
  </si>
  <si>
    <t xml:space="preserve">https://www.1mg.com/drugs/glyday-50-tablet-575621</t>
  </si>
  <si>
    <t xml:space="preserve">Monitor LFTs. Avoid in liver disease.</t>
  </si>
  <si>
    <t xml:space="preserve">Linagliptin</t>
  </si>
  <si>
    <t xml:space="preserve">linagliptin</t>
  </si>
  <si>
    <t xml:space="preserve">L Glip</t>
  </si>
  <si>
    <t xml:space="preserve">Unison Pharmaceuticals Pvt Ltd</t>
  </si>
  <si>
    <t xml:space="preserve">₹25.3/strip of 10 (5mg)</t>
  </si>
  <si>
    <t xml:space="preserve">{"egfr_all": "no dose adjustment - hepatic clearance"}</t>
  </si>
  <si>
    <t xml:space="preserve">https://www.1mg.com/drugs/l-glip-5mg-tablet-1003435</t>
  </si>
  <si>
    <t xml:space="preserve">BEST choice in advanced CKD - no renal dose adjustment needed.</t>
  </si>
  <si>
    <t xml:space="preserve">Saxagliptin</t>
  </si>
  <si>
    <t xml:space="preserve">saxagliptin</t>
  </si>
  <si>
    <t xml:space="preserve">Zaxaglit</t>
  </si>
  <si>
    <t xml:space="preserve">Chemo Healthcare Pvt Ltd</t>
  </si>
  <si>
    <t xml:space="preserve">₹365/strip of 10 (2.5mg)</t>
  </si>
  <si>
    <t xml:space="preserve">{"egfr_45_plus": "5mg", "egfr_below_45": "2.5mg"}</t>
  </si>
  <si>
    <t xml:space="preserve">https://www.1mg.com/drugs/zaxaglit-2.5mg-tablet-668606</t>
  </si>
  <si>
    <t xml:space="preserve">CONTRAINDICATED in HF (FDA black box - SAVOR-TIMI). Increased HF hospitalization.</t>
  </si>
  <si>
    <t xml:space="preserve">Empagliflozin</t>
  </si>
  <si>
    <t xml:space="preserve">empagliflozin</t>
  </si>
  <si>
    <t xml:space="preserve">SGLT2 inhibitor</t>
  </si>
  <si>
    <t xml:space="preserve">Gibtulio</t>
  </si>
  <si>
    <t xml:space="preserve">Lupin Ltd</t>
  </si>
  <si>
    <t xml:space="preserve">₹117/strip of 10 (10mg)</t>
  </si>
  <si>
    <t xml:space="preserve">{"egfr_45_plus": "10-25mg", "egfr_30_45": "10mg if started, do not initiate", "egfr_below_30": "STOP"}</t>
  </si>
  <si>
    <t xml:space="preserve">loss</t>
  </si>
  <si>
    <t xml:space="preserve">["diabetes","cardiovascular","heart_failure"]</t>
  </si>
  <si>
    <t xml:space="preserve">https://www.1mg.com/drugs/gibtulio-10mg-tablet-336789</t>
  </si>
  <si>
    <t xml:space="preserve">EMPEROR-Reduced: HF benefit. EMPA-REG OUTCOME: CV benefit. Genital infections, DKA risk.</t>
  </si>
  <si>
    <t xml:space="preserve">Dapagliflozin</t>
  </si>
  <si>
    <t xml:space="preserve">dapagliflozin</t>
  </si>
  <si>
    <t xml:space="preserve">Oxra</t>
  </si>
  <si>
    <t xml:space="preserve">Sun Pharmaceutical Industries Ltd</t>
  </si>
  <si>
    <t xml:space="preserve">₹162/strip of 14 (5mg)</t>
  </si>
  <si>
    <t xml:space="preserve">{"egfr_25_plus": "10mg", "egfr_below_25": "STOP for glycemic; continue for HF if stable"}</t>
  </si>
  <si>
    <t xml:space="preserve">https://www.1mg.com/drugs/oxra-5mg-tablet-333999</t>
  </si>
  <si>
    <t xml:space="preserve">DAPA-HF trial: HFrEF benefit even without diabetes. First-line in HF + T2DM.</t>
  </si>
  <si>
    <t xml:space="preserve">Canagliflozin</t>
  </si>
  <si>
    <t xml:space="preserve">canagliflozin</t>
  </si>
  <si>
    <t xml:space="preserve">Canagliflowin</t>
  </si>
  <si>
    <t xml:space="preserve">Prevego Healthcare &amp; Research Private Limited</t>
  </si>
  <si>
    <t xml:space="preserve">₹306.63/strip of 10 (100mg)</t>
  </si>
  <si>
    <t xml:space="preserve">{"egfr_60_plus": "100-300mg", "egfr_30_60": "100mg", "egfr_below_30": "STOP"}</t>
  </si>
  <si>
    <t xml:space="preserve">["diabetes","cardiovascular"]</t>
  </si>
  <si>
    <t xml:space="preserve">https://www.netmeds.com/product/canagliflowin-100-tablet-10s-mb6p76-10893979</t>
  </si>
  <si>
    <t xml:space="preserve">CANVAS: increased lower extremity amputation risk. Less commonly used in India now.</t>
  </si>
  <si>
    <t xml:space="preserve">Pioglitazone</t>
  </si>
  <si>
    <t xml:space="preserve">pioglitazone</t>
  </si>
  <si>
    <t xml:space="preserve">Thiazolidinedione</t>
  </si>
  <si>
    <t xml:space="preserve">piONORM</t>
  </si>
  <si>
    <t xml:space="preserve">Micro Labs Ltd</t>
  </si>
  <si>
    <t xml:space="preserve">₹54.3/strip of 10 (15mg)</t>
  </si>
  <si>
    <t xml:space="preserve">https://www.1mg.com/drugs/pionorm-15-tablet-27703</t>
  </si>
  <si>
    <t xml:space="preserve">CONTRAINDICATED in HF (fluid retention). Beneficial in NAFLD. Bladder cancer risk caution.</t>
  </si>
  <si>
    <t xml:space="preserve">Insulin Glargine</t>
  </si>
  <si>
    <t xml:space="preserve">insulin_glargine</t>
  </si>
  <si>
    <t xml:space="preserve">Insulin</t>
  </si>
  <si>
    <t xml:space="preserve">Long-acting analog</t>
  </si>
  <si>
    <t xml:space="preserve">Basalog</t>
  </si>
  <si>
    <t xml:space="preserve">Biocon</t>
  </si>
  <si>
    <t xml:space="preserve">₹542/cartridge (3ml)</t>
  </si>
  <si>
    <t xml:space="preserve">{"egfr_all": "dose-adjust per glucose"}</t>
  </si>
  <si>
    <t xml:space="preserve">https://www.1mg.com/drugs/basalog-refill-solution-for-injection-164232</t>
  </si>
  <si>
    <t xml:space="preserve">Once-daily basal. Basalog (Biocon biosimilar) much cheaper than Lantus.</t>
  </si>
  <si>
    <t xml:space="preserve">Insulin Human 30/70 (Premixed)</t>
  </si>
  <si>
    <t xml:space="preserve">insulin_human_premix</t>
  </si>
  <si>
    <t xml:space="preserve">Premixed human</t>
  </si>
  <si>
    <t xml:space="preserve">Huminsulin 30/70</t>
  </si>
  <si>
    <t xml:space="preserve">Eli Lilly and Company India Pvt Ltd</t>
  </si>
  <si>
    <t xml:space="preserve">₹567/vial (10ml)</t>
  </si>
  <si>
    <t xml:space="preserve">https://www.1mg.com/drugs/huminsulin-30-70-suspension-for-injection-100iu-ml-115297</t>
  </si>
  <si>
    <t xml:space="preserve">NLEM. Cheapest insulin option. Twice-daily injection. Cloudy insulin.</t>
  </si>
  <si>
    <t xml:space="preserve">Insulin Regular (Human)</t>
  </si>
  <si>
    <t xml:space="preserve">insulin_regular</t>
  </si>
  <si>
    <t xml:space="preserve">Short-acting human</t>
  </si>
  <si>
    <t xml:space="preserve">Huminsulin R</t>
  </si>
  <si>
    <t xml:space="preserve">₹154/vial (10ml)</t>
  </si>
  <si>
    <t xml:space="preserve">https://www.1mg.com/drugs/huminsulin-r-40iu-ml-solution-for-injection-14549</t>
  </si>
  <si>
    <t xml:space="preserve">NLEM. Used in DKA management IV. Cheap.</t>
  </si>
  <si>
    <t xml:space="preserve">Liraglutide</t>
  </si>
  <si>
    <t xml:space="preserve">liraglutide</t>
  </si>
  <si>
    <t xml:space="preserve">GLP-1 RA</t>
  </si>
  <si>
    <t xml:space="preserve">Daily injectable</t>
  </si>
  <si>
    <t xml:space="preserve">Gliptoza</t>
  </si>
  <si>
    <t xml:space="preserve">Eris Lifesciences Limited</t>
  </si>
  <si>
    <t xml:space="preserve">₹1691/pen (3ml)</t>
  </si>
  <si>
    <t xml:space="preserve">{"egfr_15_plus": "use cautiously", "egfr_below_15": "avoid"}</t>
  </si>
  <si>
    <t xml:space="preserve">https://www.1mg.com/drugs/gliptoza-pre-filled-pen-1084868</t>
  </si>
  <si>
    <t xml:space="preserve">LEADER trial: CV benefit. Weight loss. Expensive in India (~₹6000-9000/month).</t>
  </si>
  <si>
    <t xml:space="preserve">Dulaglutide</t>
  </si>
  <si>
    <t xml:space="preserve">dulaglutide</t>
  </si>
  <si>
    <t xml:space="preserve">Weekly injectable</t>
  </si>
  <si>
    <t xml:space="preserve">Trulicity</t>
  </si>
  <si>
    <t xml:space="preserve">₹4999/pen (0.75mg/0.5ml)</t>
  </si>
  <si>
    <t xml:space="preserve">{"egfr_15_plus": "no dose adjustment"}</t>
  </si>
  <si>
    <t xml:space="preserve">https://www.1mg.com/drugs/trulicity-0.75mg-pre-filled-pen-332260</t>
  </si>
  <si>
    <t xml:space="preserve">REWIND: CV benefit. Once-weekly. Very expensive in India.</t>
  </si>
  <si>
    <t xml:space="preserve">Acarbose</t>
  </si>
  <si>
    <t xml:space="preserve">acarbose</t>
  </si>
  <si>
    <t xml:space="preserve">Alpha-glucosidase inhibitor</t>
  </si>
  <si>
    <t xml:space="preserve">Glucobay</t>
  </si>
  <si>
    <t xml:space="preserve">Bayer Zydus Pharma Pvt Ltd</t>
  </si>
  <si>
    <t xml:space="preserve">₹102/strip of 10 (25mg)</t>
  </si>
  <si>
    <t xml:space="preserve">{"egfr_25_plus": "use", "egfr_below_25": "avoid"}</t>
  </si>
  <si>
    <t xml:space="preserve">https://www.1mg.com/drugs/glucobay-25-tablet-40362</t>
  </si>
  <si>
    <t xml:space="preserve">Targets postprandial glucose. GI side effects common.</t>
  </si>
  <si>
    <t xml:space="preserve">Metformin + Glimepiride FDC</t>
  </si>
  <si>
    <t xml:space="preserve">metformin_glimepiride</t>
  </si>
  <si>
    <t xml:space="preserve">FDC</t>
  </si>
  <si>
    <t xml:space="preserve">Biguanide+SU</t>
  </si>
  <si>
    <t xml:space="preserve">Azulix</t>
  </si>
  <si>
    <t xml:space="preserve">Torrent Pharmaceuticals Ltd</t>
  </si>
  <si>
    <t xml:space="preserve">₹63.9/strip of 10 (0.5mg+500mg</t>
  </si>
  <si>
    <t xml:space="preserve">{"egfr_60_plus": "use", "egfr_below_60": "STOP - SU component unsafe"}</t>
  </si>
  <si>
    <t xml:space="preserve">https://www.1mg.com/drugs/azulix-0.5-mf-tablet-pr-497053</t>
  </si>
  <si>
    <t xml:space="preserve">Most common FDC in India. Glycomet-GP1 = 500mg+1mg, GP2 = 500mg+2mg.</t>
  </si>
  <si>
    <t xml:space="preserve">Metformin + Teneligliptin FDC</t>
  </si>
  <si>
    <t xml:space="preserve">metformin_teneligliptin</t>
  </si>
  <si>
    <t xml:space="preserve">Biguanide+DPP4i</t>
  </si>
  <si>
    <t xml:space="preserve">Dynaglipt-M</t>
  </si>
  <si>
    <t xml:space="preserve">₹149/strip of 10 (500mg+20mg)</t>
  </si>
  <si>
    <t xml:space="preserve">{"egfr_45_plus": "use", "egfr_below_45": "stop metformin component"}</t>
  </si>
  <si>
    <t xml:space="preserve">https://www.1mg.com/drugs/dynaglipt-m-tablet-sr-337936</t>
  </si>
  <si>
    <t xml:space="preserve">Affordable DPP4i-based FDC. Common Indian prescribing.</t>
  </si>
  <si>
    <t xml:space="preserve">Metformin + Vildagliptin FDC</t>
  </si>
  <si>
    <t xml:space="preserve">metformin_vildagliptin</t>
  </si>
  <si>
    <t xml:space="preserve">Ozovil-M</t>
  </si>
  <si>
    <t xml:space="preserve">Ozone Pharmaceuticals Ltd</t>
  </si>
  <si>
    <t xml:space="preserve">₹70.3/strip of 15 (500mg+50mg)</t>
  </si>
  <si>
    <t xml:space="preserve">{"egfr_50_plus": "use", "egfr_below_50": "reduce or stop"}</t>
  </si>
  <si>
    <t xml:space="preserve">https://www.1mg.com/drugs/ozovil-m-tablet-641750</t>
  </si>
  <si>
    <t xml:space="preserve">Most prescribed DPP4i-FDC globally.</t>
  </si>
  <si>
    <t xml:space="preserve">Aspirin</t>
  </si>
  <si>
    <t xml:space="preserve">aspirin</t>
  </si>
  <si>
    <t xml:space="preserve">Antiplatelet</t>
  </si>
  <si>
    <t xml:space="preserve">COX-1 inhibitor</t>
  </si>
  <si>
    <t xml:space="preserve">Ecosprin</t>
  </si>
  <si>
    <t xml:space="preserve">USV Private Limited</t>
  </si>
  <si>
    <t xml:space="preserve">₹4.9/strip of 14 (75mg)</t>
  </si>
  <si>
    <t xml:space="preserve">{"egfr_all": "use, monitor GI"}</t>
  </si>
  <si>
    <t xml:space="preserve">["cardiovascular"]</t>
  </si>
  <si>
    <t xml:space="preserve">https://www.1mg.com/drugs/ecosprin-75-tablet-40765</t>
  </si>
  <si>
    <t xml:space="preserve">NLEM. ₹4-8/strip. Foundational ACS drug. Loading dose 162-325mg, maintenance 75mg.</t>
  </si>
  <si>
    <t xml:space="preserve">Clopidogrel</t>
  </si>
  <si>
    <t xml:space="preserve">clopidogrel</t>
  </si>
  <si>
    <t xml:space="preserve">P2Y12 inhibitor</t>
  </si>
  <si>
    <t xml:space="preserve">Plavix</t>
  </si>
  <si>
    <t xml:space="preserve">Sanofi</t>
  </si>
  <si>
    <t xml:space="preserve">₹94.8/strip of 14 (75mg)</t>
  </si>
  <si>
    <t xml:space="preserve">{"egfr_all": "use, no dose adjustment"}</t>
  </si>
  <si>
    <t xml:space="preserve">https://www.1mg.com/drugs/plavix-tablet-134976</t>
  </si>
  <si>
    <t xml:space="preserve">NLEM. Loading 300-600mg. Maintenance 75mg. CYP2C19 variability.</t>
  </si>
  <si>
    <t xml:space="preserve">Ticagrelor</t>
  </si>
  <si>
    <t xml:space="preserve">ticagrelor</t>
  </si>
  <si>
    <t xml:space="preserve">Axcer</t>
  </si>
  <si>
    <t xml:space="preserve">₹427/strip of 14 (60mg)</t>
  </si>
  <si>
    <t xml:space="preserve">https://www.1mg.com/drugs/axcer-60mg-tablet-416014</t>
  </si>
  <si>
    <t xml:space="preserve">PLATO trial: preferred over clopidogrel in ACS. Loading 180mg, then 90mg BD.</t>
  </si>
  <si>
    <t xml:space="preserve">Prasugrel</t>
  </si>
  <si>
    <t xml:space="preserve">prasugrel</t>
  </si>
  <si>
    <t xml:space="preserve">Oresugrel</t>
  </si>
  <si>
    <t xml:space="preserve">Druto Laboratories</t>
  </si>
  <si>
    <t xml:space="preserve">₹98.4/strip of 10 (5mg)</t>
  </si>
  <si>
    <t xml:space="preserve">{"egfr_all": "use cautiously"}</t>
  </si>
  <si>
    <t xml:space="preserve">https://www.1mg.com/drugs/oresugrel-5mg-tablet-593762</t>
  </si>
  <si>
    <t xml:space="preserve">Avoid &gt;75y, &lt;60kg, prior stroke/TIA. Loading 60mg, maintenance 10mg.</t>
  </si>
  <si>
    <t xml:space="preserve">Heparin (UFH)</t>
  </si>
  <si>
    <t xml:space="preserve">heparin</t>
  </si>
  <si>
    <t xml:space="preserve">Anticoagulant</t>
  </si>
  <si>
    <t xml:space="preserve">Unfractionated heparin</t>
  </si>
  <si>
    <t xml:space="preserve">Celhep 25000IU</t>
  </si>
  <si>
    <t xml:space="preserve">Celon Laboratories Ltd</t>
  </si>
  <si>
    <t xml:space="preserve">₹207/vial (5ml)</t>
  </si>
  <si>
    <t xml:space="preserve">{"egfr_all": "use, monitor aPTT"}</t>
  </si>
  <si>
    <t xml:space="preserve">https://www.1mg.com/drugs/celhep-25000iu-injection-720100</t>
  </si>
  <si>
    <t xml:space="preserve">NLEM. IV bolus + infusion in ACS. Monitor aPTT 1.5-2.5x baseline.</t>
  </si>
  <si>
    <t xml:space="preserve">Enoxaparin</t>
  </si>
  <si>
    <t xml:space="preserve">enoxaparin</t>
  </si>
  <si>
    <t xml:space="preserve">LMWH</t>
  </si>
  <si>
    <t xml:space="preserve">Exhep</t>
  </si>
  <si>
    <t xml:space="preserve">Emcure Pharmaceuticals Ltd</t>
  </si>
  <si>
    <t xml:space="preserve">₹214/syringe (0.2ml)</t>
  </si>
  <si>
    <t xml:space="preserve">{"egfr_30_plus": "1mg/kg SC BD", "egfr_below_30": "1mg/kg OD"}</t>
  </si>
  <si>
    <t xml:space="preserve">https://www.1mg.com/drugs/exhep-20-injection-301822</t>
  </si>
  <si>
    <t xml:space="preserve">Weight-based SC. Renal dose adjustment &lt;30.</t>
  </si>
  <si>
    <t xml:space="preserve">Warfarin</t>
  </si>
  <si>
    <t xml:space="preserve">warfarin</t>
  </si>
  <si>
    <t xml:space="preserve">VKA</t>
  </si>
  <si>
    <t xml:space="preserve">Warf</t>
  </si>
  <si>
    <t xml:space="preserve">Cipla Ltd</t>
  </si>
  <si>
    <t xml:space="preserve">₹78.7/strip of 30 (1mg)</t>
  </si>
  <si>
    <t xml:space="preserve">{"egfr_all": "use, monitor INR"}</t>
  </si>
  <si>
    <t xml:space="preserve">https://www.1mg.com/drugs/warf-1-tablet-553037</t>
  </si>
  <si>
    <t xml:space="preserve">NLEM. Cheap. INR 2-3 most indications, 2.5-3.5 mechanical valves. Preferred in valvular AF (RHD).</t>
  </si>
  <si>
    <t xml:space="preserve">Rivaroxaban</t>
  </si>
  <si>
    <t xml:space="preserve">rivaroxaban</t>
  </si>
  <si>
    <t xml:space="preserve">DOAC - factor Xa</t>
  </si>
  <si>
    <t xml:space="preserve">Ordiban</t>
  </si>
  <si>
    <t xml:space="preserve">Cheminnova Life Sciences</t>
  </si>
  <si>
    <t xml:space="preserve">₹229/strip of 7 (10mg)</t>
  </si>
  <si>
    <t xml:space="preserve">{"egfr_50_plus": "20mg OD", "egfr_15_50": "15mg OD", "egfr_below_15": "avoid"}</t>
  </si>
  <si>
    <t xml:space="preserve">https://www.1mg.com/drugs/ordiban-tablet-647571</t>
  </si>
  <si>
    <t xml:space="preserve">Non-valvular AF. ~₹150/day. NOT for valvular/rheumatic AF.</t>
  </si>
  <si>
    <t xml:space="preserve">Apixaban</t>
  </si>
  <si>
    <t xml:space="preserve">apixaban</t>
  </si>
  <si>
    <t xml:space="preserve">Eliquis</t>
  </si>
  <si>
    <t xml:space="preserve">Pfizer Ltd</t>
  </si>
  <si>
    <t xml:space="preserve">₹334/strip of 10 (2.5mg)</t>
  </si>
  <si>
    <t xml:space="preserve">{"egfr_15_plus": "5mg BD (2.5mg if 2 of: age&gt;=80, weight&lt;=60, Cr&gt;=1.5)", "egfr_below_15": "avoid"}</t>
  </si>
  <si>
    <t xml:space="preserve">https://www.1mg.com/drugs/eliquis-2.5mg-tablet-138240</t>
  </si>
  <si>
    <t xml:space="preserve">Lowest bleeding risk among DOACs. ~₹120/day.</t>
  </si>
  <si>
    <t xml:space="preserve">Dabigatran</t>
  </si>
  <si>
    <t xml:space="preserve">dabigatran</t>
  </si>
  <si>
    <t xml:space="preserve">DOAC - direct thrombin</t>
  </si>
  <si>
    <t xml:space="preserve">Dabitra</t>
  </si>
  <si>
    <t xml:space="preserve">₹225/strip (110mg)</t>
  </si>
  <si>
    <t xml:space="preserve">{"egfr_30_plus": "150mg BD", "egfr_below_30": "avoid"}</t>
  </si>
  <si>
    <t xml:space="preserve">https://www.1mg.com/drugs/dabitra-110-capsule-408926</t>
  </si>
  <si>
    <t xml:space="preserve">Has reversal agent (idarucizumab). GI upset common.</t>
  </si>
  <si>
    <t xml:space="preserve">Streptokinase</t>
  </si>
  <si>
    <t xml:space="preserve">streptokinase</t>
  </si>
  <si>
    <t xml:space="preserve">Thrombolytic</t>
  </si>
  <si>
    <t xml:space="preserve">Fibrinolytic</t>
  </si>
  <si>
    <t xml:space="preserve">Thromboflux 1500000IU</t>
  </si>
  <si>
    <t xml:space="preserve">Bharat Serums &amp; Vaccines Ltd</t>
  </si>
  <si>
    <t xml:space="preserve">₹1920/vial (10ml)</t>
  </si>
  <si>
    <t xml:space="preserve">{"egfr_all": "use if needed"}</t>
  </si>
  <si>
    <t xml:space="preserve">https://www.1mg.com/drugs/thromboflux-1500000iu-injection-288098</t>
  </si>
  <si>
    <t xml:space="preserve">NLEM. KEY INDIAN DRUG. Non-fibrin-specific. 1 hour IV infusion. ~₹5-8K vs Tenecteplase ₹25-35K.</t>
  </si>
  <si>
    <t xml:space="preserve">Tenecteplase</t>
  </si>
  <si>
    <t xml:space="preserve">tenecteplase</t>
  </si>
  <si>
    <t xml:space="preserve">Tenecterel</t>
  </si>
  <si>
    <t xml:space="preserve">Reliance Life Sciences</t>
  </si>
  <si>
    <t xml:space="preserve">₹29870/vial (30mg)</t>
  </si>
  <si>
    <t xml:space="preserve">https://www.1mg.com/drugs/tenecterel-30mg-injection-kit-665741</t>
  </si>
  <si>
    <t xml:space="preserve">Weight-based single IV bolus. Fibrin-specific. Preferred if affordable.</t>
  </si>
  <si>
    <t xml:space="preserve">Atorvastatin</t>
  </si>
  <si>
    <t xml:space="preserve">atorvastatin</t>
  </si>
  <si>
    <t xml:space="preserve">Statin</t>
  </si>
  <si>
    <t xml:space="preserve">HMG-CoA reductase inhibitor</t>
  </si>
  <si>
    <t xml:space="preserve">Xtor</t>
  </si>
  <si>
    <t xml:space="preserve">Ipca Laboratories Ltd</t>
  </si>
  <si>
    <t xml:space="preserve">₹53.23/strip of 10 (10mg)</t>
  </si>
  <si>
    <t xml:space="preserve">https://www.1mg.com/drugs/xtor-10-tablet-114371</t>
  </si>
  <si>
    <t xml:space="preserve">NLEM. ACS: 80mg load. Maintenance 40-80mg. Cheapest high-intensity statin.</t>
  </si>
  <si>
    <t xml:space="preserve">Rosuvastatin</t>
  </si>
  <si>
    <t xml:space="preserve">rosuvastatin</t>
  </si>
  <si>
    <t xml:space="preserve">Consivas</t>
  </si>
  <si>
    <t xml:space="preserve">₹78.7/strip of 10 (5mg)</t>
  </si>
  <si>
    <t xml:space="preserve">{"egfr_30_plus": "use", "egfr_below_30": "max 10mg"}</t>
  </si>
  <si>
    <t xml:space="preserve">https://www.1mg.com/drugs/consivas-5-tablet-31061</t>
  </si>
  <si>
    <t xml:space="preserve">Higher LDL reduction per mg. Avoid in severe renal impairment.</t>
  </si>
  <si>
    <t xml:space="preserve">Ramipril</t>
  </si>
  <si>
    <t xml:space="preserve">ramipril</t>
  </si>
  <si>
    <t xml:space="preserve">ACE inhibitor</t>
  </si>
  <si>
    <t xml:space="preserve">Ziram</t>
  </si>
  <si>
    <t xml:space="preserve">FDC Ltd</t>
  </si>
  <si>
    <t xml:space="preserve">₹32.5/strip of 10 (2.5mg)</t>
  </si>
  <si>
    <t xml:space="preserve">{"egfr_30_plus": "use", "egfr_below_30": "reduce dose, monitor K+"}</t>
  </si>
  <si>
    <t xml:space="preserve">["cardiovascular","heart_failure"]</t>
  </si>
  <si>
    <t xml:space="preserve">https://www.1mg.com/drugs/ziram-2.5-tablet-30210</t>
  </si>
  <si>
    <t xml:space="preserve">NLEM. First-line post-MI, HF, HTN. Hyperkalemia risk with K+-sparing diuretics.</t>
  </si>
  <si>
    <t xml:space="preserve">Enalapril</t>
  </si>
  <si>
    <t xml:space="preserve">enalapril</t>
  </si>
  <si>
    <t xml:space="preserve">EL</t>
  </si>
  <si>
    <t xml:space="preserve">Sunij Pharma Pvt Ltd</t>
  </si>
  <si>
    <t xml:space="preserve">₹12.97/strip of 10 (2.5mg)</t>
  </si>
  <si>
    <t xml:space="preserve">{"egfr_30_plus": "use", "egfr_below_30": "reduce dose"}</t>
  </si>
  <si>
    <t xml:space="preserve">https://www.1mg.com/drugs/el-2.5mg-tablet-266697</t>
  </si>
  <si>
    <t xml:space="preserve">NLEM. Very cheap. Twice-daily dosing.</t>
  </si>
  <si>
    <t xml:space="preserve">Telmisartan</t>
  </si>
  <si>
    <t xml:space="preserve">telmisartan</t>
  </si>
  <si>
    <t xml:space="preserve">ARB</t>
  </si>
  <si>
    <t xml:space="preserve">Telmikind</t>
  </si>
  <si>
    <t xml:space="preserve">₹25.4/strip of 10 (20mg)</t>
  </si>
  <si>
    <t xml:space="preserve">{"egfr_all": "use, monitor K+"}</t>
  </si>
  <si>
    <t xml:space="preserve">https://www.1mg.com/drugs/telmikind-20-tablet-73132</t>
  </si>
  <si>
    <t xml:space="preserve">NLEM. Long-acting ARB. Hyperkalemia risk.</t>
  </si>
  <si>
    <t xml:space="preserve">Metoprolol</t>
  </si>
  <si>
    <t xml:space="preserve">metoprolol</t>
  </si>
  <si>
    <t xml:space="preserve">Beta blocker</t>
  </si>
  <si>
    <t xml:space="preserve">Beta-1 selective</t>
  </si>
  <si>
    <t xml:space="preserve">Metzok</t>
  </si>
  <si>
    <t xml:space="preserve">₹40.22/strip of 10 (11.8mg)</t>
  </si>
  <si>
    <t xml:space="preserve">https://www.1mg.com/drugs/metzok-12.5-tablet-pr-18452</t>
  </si>
  <si>
    <t xml:space="preserve">NLEM. Succinate (XL) for HF. Tartrate for ACS. Masks hypoglycemia symptoms.</t>
  </si>
  <si>
    <t xml:space="preserve">Carvedilol</t>
  </si>
  <si>
    <t xml:space="preserve">carvedilol</t>
  </si>
  <si>
    <t xml:space="preserve">Non-selective + alpha-1</t>
  </si>
  <si>
    <t xml:space="preserve">Carvil</t>
  </si>
  <si>
    <t xml:space="preserve">Zydus Cadila</t>
  </si>
  <si>
    <t xml:space="preserve">₹65/strip of 10 (3.125mg)</t>
  </si>
  <si>
    <t xml:space="preserve">https://www.1mg.com/drugs/carvil-3.125-tablet-239740</t>
  </si>
  <si>
    <t xml:space="preserve">Preferred in HFrEF. Titrate slowly. Masks hypoglycemia.</t>
  </si>
  <si>
    <t xml:space="preserve">Bisoprolol</t>
  </si>
  <si>
    <t xml:space="preserve">bisoprolol</t>
  </si>
  <si>
    <t xml:space="preserve">bisELECT</t>
  </si>
  <si>
    <t xml:space="preserve">Intas Pharmaceuticals Ltd</t>
  </si>
  <si>
    <t xml:space="preserve">₹41.72/strip of 10 (2.5mg)</t>
  </si>
  <si>
    <t xml:space="preserve">{"egfr_20_plus": "use", "egfr_below_20": "reduce"}</t>
  </si>
  <si>
    <t xml:space="preserve">https://www.1mg.com/drugs/biselect-2.5-tablet-48503</t>
  </si>
  <si>
    <t xml:space="preserve">Once daily. HF mortality benefit (CIBIS-II).</t>
  </si>
  <si>
    <t xml:space="preserve">Furosemide</t>
  </si>
  <si>
    <t xml:space="preserve">furosemide</t>
  </si>
  <si>
    <t xml:space="preserve">Loop diuretic</t>
  </si>
  <si>
    <t xml:space="preserve">Lasix</t>
  </si>
  <si>
    <t xml:space="preserve">₹13.1/strip of 15 (40mg)</t>
  </si>
  <si>
    <t xml:space="preserve">{"egfr_all": "use, doses up to 200mg in CKD"}</t>
  </si>
  <si>
    <t xml:space="preserve">https://www.1mg.com/drugs/lasix-tablet-69762</t>
  </si>
  <si>
    <t xml:space="preserve">NLEM. Mainstay diuretic. Monitor K+ Mg++.</t>
  </si>
  <si>
    <t xml:space="preserve">Spironolactone</t>
  </si>
  <si>
    <t xml:space="preserve">spironolactone</t>
  </si>
  <si>
    <t xml:space="preserve">K-sparing diuretic</t>
  </si>
  <si>
    <t xml:space="preserve">Aldosterone antagonist</t>
  </si>
  <si>
    <t xml:space="preserve">Aldactone</t>
  </si>
  <si>
    <t xml:space="preserve">RPG Life Sciences Ltd</t>
  </si>
  <si>
    <t xml:space="preserve">₹34.9/strip of 15 (25mg)</t>
  </si>
  <si>
    <t xml:space="preserve">{"egfr_30_plus": "use, monitor K+", "egfr_below_30": "avoid"}</t>
  </si>
  <si>
    <t xml:space="preserve">https://www.1mg.com/drugs/aldactone-tablet-116839</t>
  </si>
  <si>
    <t xml:space="preserve">NLEM. HFrEF mortality benefit (RALES). HYPERKALEMIA RISK with ACEi.</t>
  </si>
  <si>
    <t xml:space="preserve">Amiodarone</t>
  </si>
  <si>
    <t xml:space="preserve">amiodarone</t>
  </si>
  <si>
    <t xml:space="preserve">Antiarrhythmic</t>
  </si>
  <si>
    <t xml:space="preserve">Class III</t>
  </si>
  <si>
    <t xml:space="preserve">Tachyra</t>
  </si>
  <si>
    <t xml:space="preserve">Cipla</t>
  </si>
  <si>
    <t xml:space="preserve">₹65.6/strip of 10 (100mg)</t>
  </si>
  <si>
    <t xml:space="preserve">https://www.1mg.com/drugs/tachyra-100-tablet-43493</t>
  </si>
  <si>
    <t xml:space="preserve">NLEM. Thyroid/lung/liver toxicity. Multiple drug interactions.</t>
  </si>
  <si>
    <t xml:space="preserve">Digoxin</t>
  </si>
  <si>
    <t xml:space="preserve">digoxin</t>
  </si>
  <si>
    <t xml:space="preserve">Cardiac glycoside</t>
  </si>
  <si>
    <t xml:space="preserve">Lanoxin </t>
  </si>
  <si>
    <t xml:space="preserve">Glaxo SmithKline Pharmaceuticals Ltd</t>
  </si>
  <si>
    <t xml:space="preserve">₹13.9/strip of 10 (0.25mg)</t>
  </si>
  <si>
    <t xml:space="preserve">{"egfr_50_plus": "0.125-0.25mg", "egfr_below_50": "0.0625-0.125mg, monitor levels"}</t>
  </si>
  <si>
    <t xml:space="preserve">https://www.1mg.com/drugs/lanoxin-tablet-39496</t>
  </si>
  <si>
    <t xml:space="preserve">NLEM. Narrow therapeutic index. Toxicity at low K+/Mg++.</t>
  </si>
  <si>
    <t xml:space="preserve">Nitroglycerine (Sublingual)</t>
  </si>
  <si>
    <t xml:space="preserve">ntg_sublingual</t>
  </si>
  <si>
    <t xml:space="preserve">Nitrate</t>
  </si>
  <si>
    <t xml:space="preserve">Short-acting</t>
  </si>
  <si>
    <t xml:space="preserve">Nitroglycerin Controlled Release Tablets</t>
  </si>
  <si>
    <t xml:space="preserve">Medrock Biotech</t>
  </si>
  <si>
    <t xml:space="preserve">₹190/strip of 30 (2.6mg)</t>
  </si>
  <si>
    <t xml:space="preserve">https://www.indiamart.com/proddetail/nitrglycerine-controlled-release-26199997273.html</t>
  </si>
  <si>
    <t xml:space="preserve">NLEM. SL for acute angina. Caution with SBP &lt;90, sildenafil use.</t>
  </si>
  <si>
    <t xml:space="preserve">Isosorbide Mononitrate</t>
  </si>
  <si>
    <t xml:space="preserve">ismn</t>
  </si>
  <si>
    <t xml:space="preserve">Long-acting</t>
  </si>
  <si>
    <t xml:space="preserve">Monotrate</t>
  </si>
  <si>
    <t xml:space="preserve">₹27.19/strip of 10 (10mg)</t>
  </si>
  <si>
    <t xml:space="preserve">https://www.1mg.com/drugs/monotrate-10-tablet-119000</t>
  </si>
  <si>
    <t xml:space="preserve">Daily anti-anginal. Need nitrate-free interval to prevent tolerance.</t>
  </si>
  <si>
    <t xml:space="preserve">drug_a_id</t>
  </si>
  <si>
    <t xml:space="preserve">drug_a_name</t>
  </si>
  <si>
    <t xml:space="preserve">drug_b_id</t>
  </si>
  <si>
    <t xml:space="preserve">drug_b_name</t>
  </si>
  <si>
    <t xml:space="preserve">severity</t>
  </si>
  <si>
    <t xml:space="preserve">mechanism</t>
  </si>
  <si>
    <t xml:space="preserve">clinical_effect</t>
  </si>
  <si>
    <t xml:space="preserve">management</t>
  </si>
  <si>
    <t xml:space="preserve">Alcohol</t>
  </si>
  <si>
    <t xml:space="preserve">severe</t>
  </si>
  <si>
    <t xml:space="preserve">Additive hypoglycemic effect; alcohol impairs gluconeogenesis</t>
  </si>
  <si>
    <t xml:space="preserve">Severe hypoglycemia, disulfiram-like reaction</t>
  </si>
  <si>
    <t xml:space="preserve">Avoid alcohol. If consumed, eat carbs, monitor glucose.</t>
  </si>
  <si>
    <t xml:space="preserve">Both SUs - duplicative therapy</t>
  </si>
  <si>
    <t xml:space="preserve">Profound hypoglycemia</t>
  </si>
  <si>
    <t xml:space="preserve">Never combine sulfonylureas.</t>
  </si>
  <si>
    <t xml:space="preserve">IV contrast dye</t>
  </si>
  <si>
    <t xml:space="preserve">Risk of contrast-induced AKI → metformin accumulation → lactic acidosis</t>
  </si>
  <si>
    <t xml:space="preserve">Lactic acidosis</t>
  </si>
  <si>
    <t xml:space="preserve">Hold metformin 48h before and after IV contrast if eGFR &lt;60.</t>
  </si>
  <si>
    <t xml:space="preserve">Additive fluid retention</t>
  </si>
  <si>
    <t xml:space="preserve">Edema, weight gain, HF exacerbation</t>
  </si>
  <si>
    <t xml:space="preserve">Monitor for edema. Avoid in HF.</t>
  </si>
  <si>
    <t xml:space="preserve">Both lower glucose (additive)</t>
  </si>
  <si>
    <t xml:space="preserve">Hypoglycemia risk</t>
  </si>
  <si>
    <t xml:space="preserve">Consider reducing SU dose when adding DPP4i.</t>
  </si>
  <si>
    <t xml:space="preserve">Standard DAPT - intended combination but bleeding risk</t>
  </si>
  <si>
    <t xml:space="preserve">Bleeding (GI, intracranial)</t>
  </si>
  <si>
    <t xml:space="preserve">Standard ACS therapy. PPI if GI risk. Monitor Hb.</t>
  </si>
  <si>
    <t xml:space="preserve">Combined antiplatelet + anticoagulant</t>
  </si>
  <si>
    <t xml:space="preserve">Major bleeding risk</t>
  </si>
  <si>
    <t xml:space="preserve">Use only when essential. Limit duration. Add PPI.</t>
  </si>
  <si>
    <t xml:space="preserve">Dual RAAS blockade + K-sparing diuretic</t>
  </si>
  <si>
    <t xml:space="preserve">HYPERKALEMIA (can be fatal)</t>
  </si>
  <si>
    <t xml:space="preserve">Monitor K+ at baseline, 1 week, then monthly. Hold if K+ &gt;5.5.</t>
  </si>
  <si>
    <t xml:space="preserve">Dual RAAS + K-sparing</t>
  </si>
  <si>
    <t xml:space="preserve">Hyperkalemia</t>
  </si>
  <si>
    <t xml:space="preserve">Monitor K+ closely. Avoid combination in CKD.</t>
  </si>
  <si>
    <t xml:space="preserve">Amiodarone inhibits CYP2C9 → reduces warfarin metabolism</t>
  </si>
  <si>
    <t xml:space="preserve">INR elevation, bleeding</t>
  </si>
  <si>
    <t xml:space="preserve">Reduce warfarin dose 30-50% when starting amiodarone. Check INR weekly initially.</t>
  </si>
  <si>
    <t xml:space="preserve">Amiodarone increases digoxin levels via P-gp inhibition</t>
  </si>
  <si>
    <t xml:space="preserve">Digoxin toxicity (arrhythmia, GI symptoms)</t>
  </si>
  <si>
    <t xml:space="preserve">Reduce digoxin dose by 50%. Check digoxin level.</t>
  </si>
  <si>
    <t xml:space="preserve">Additive AV node suppression</t>
  </si>
  <si>
    <t xml:space="preserve">Bradycardia, AV block</t>
  </si>
  <si>
    <t xml:space="preserve">Monitor HR, ECG. Use cautiously.</t>
  </si>
  <si>
    <t xml:space="preserve">Furosemide-induced hypokalemia potentiates digoxin toxicity</t>
  </si>
  <si>
    <t xml:space="preserve">Digoxin toxicity</t>
  </si>
  <si>
    <t xml:space="preserve">Monitor K+ and Mg++. Replete as needed.</t>
  </si>
  <si>
    <t xml:space="preserve">Amiodarone inhibits CYP3A4 → increased atorvastatin levels</t>
  </si>
  <si>
    <t xml:space="preserve">Myopathy, rhabdomyolysis</t>
  </si>
  <si>
    <t xml:space="preserve">Limit atorvastatin to 20mg max with amiodarone.</t>
  </si>
  <si>
    <t xml:space="preserve">Combined anticoagulant + antiplatelet</t>
  </si>
  <si>
    <t xml:space="preserve">Bleeding</t>
  </si>
  <si>
    <t xml:space="preserve">Only use combination when essential (e.g. mechanical valve + recent stent).</t>
  </si>
  <si>
    <t xml:space="preserve">Beta blockade masks tachycardia of hypoglycemia</t>
  </si>
  <si>
    <t xml:space="preserve">Hypoglycemia unawareness</t>
  </si>
  <si>
    <t xml:space="preserve">Educate patient on non-adrenergic symptoms. Monitor glucose closely.</t>
  </si>
  <si>
    <t xml:space="preserve">Beta blockade masks hypoglycemia</t>
  </si>
  <si>
    <t xml:space="preserve">Educate patient. SMBG essential.</t>
  </si>
  <si>
    <t xml:space="preserve">Additive diuresis</t>
  </si>
  <si>
    <t xml:space="preserve">Dehydration, hypotension, AKI</t>
  </si>
  <si>
    <t xml:space="preserve">Reduce furosemide dose by 25-50% when starting SGLT2i. Monitor BP, weight.</t>
  </si>
  <si>
    <t xml:space="preserve">Additive diuresis and electrolyte shifts</t>
  </si>
  <si>
    <t xml:space="preserve">Volume depletion, electrolyte imbalance</t>
  </si>
  <si>
    <t xml:space="preserve">Monitor BP, K+, renal function.</t>
  </si>
  <si>
    <t xml:space="preserve">minor</t>
  </si>
  <si>
    <t xml:space="preserve">Minor risk of hypoglycemia + lactic acidosis if AKI develops</t>
  </si>
  <si>
    <t xml:space="preserve">Hyperkalemia, AKI risk in dehydration</t>
  </si>
  <si>
    <t xml:space="preserve">Monitor K+ and renal function. Hold metformin if dehydrated.</t>
  </si>
  <si>
    <t xml:space="preserve">Edema, HF exacerbation</t>
  </si>
  <si>
    <t xml:space="preserve">Avoid in HF. Monitor for edema.</t>
  </si>
  <si>
    <t xml:space="preserve">Beta blockade masks hypoglycemia + may prolong recovery</t>
  </si>
  <si>
    <t xml:space="preserve">Hypoglycemia unawareness, delayed recovery</t>
  </si>
  <si>
    <t xml:space="preserve">Educate patient. Frequent SMBG. Glucagon available.</t>
  </si>
  <si>
    <t xml:space="preserve">No clinically significant interaction</t>
  </si>
  <si>
    <t xml:space="preserve">None</t>
  </si>
  <si>
    <t xml:space="preserve">Safe to combine. Standard in T2DM + CVD.</t>
  </si>
  <si>
    <t xml:space="preserve">Increased lactic acidosis risk; impairs gluconeogenesis</t>
  </si>
  <si>
    <t xml:space="preserve">Lactic acidosis, hypoglycemia</t>
  </si>
  <si>
    <t xml:space="preserve">Limit alcohol. Avoid binge drinking. Patient education.</t>
  </si>
  <si>
    <t xml:space="preserve">Ibuprofen / Diclofenac (NSAIDs)</t>
  </si>
  <si>
    <t xml:space="preserve">NSAID blocks aspirin's antiplatelet effect (competitive COX-1 binding)</t>
  </si>
  <si>
    <t xml:space="preserve">Reduced cardioprotection + dual GI bleeding risk</t>
  </si>
  <si>
    <t xml:space="preserve">Avoid concurrent use. If NSAID needed, take aspirin 2h before NSAID.</t>
  </si>
  <si>
    <t xml:space="preserve">Erythromycin / Clarithromycin</t>
  </si>
  <si>
    <t xml:space="preserve">CYP3A4 inhibition → increased statin levels</t>
  </si>
  <si>
    <t xml:space="preserve">Avoid or hold statin during macrolide course. Use azithromycin instead.</t>
  </si>
  <si>
    <t xml:space="preserve">Fluconazole</t>
  </si>
  <si>
    <t xml:space="preserve">CYP2C9 inhibition by fluconazole</t>
  </si>
  <si>
    <t xml:space="preserve">Reduce warfarin dose. Check INR within 3 days.</t>
  </si>
  <si>
    <t xml:space="preserve">Prednisolone / Steroids</t>
  </si>
  <si>
    <t xml:space="preserve">Steroids cause hyperglycemia</t>
  </si>
  <si>
    <t xml:space="preserve">Loss of glycemic control</t>
  </si>
  <si>
    <t xml:space="preserve">Increase antidiabetic doses during steroid course. Monitor glucose.</t>
  </si>
  <si>
    <t xml:space="preserve">Prednisolone</t>
  </si>
  <si>
    <t xml:space="preserve">Steroid-induced hyperglycemia</t>
  </si>
  <si>
    <t xml:space="preserve">Hyperglycemia</t>
  </si>
  <si>
    <t xml:space="preserve">May need additional agent during steroid course.</t>
  </si>
  <si>
    <t xml:space="preserve">Both irritate gastric mucosa</t>
  </si>
  <si>
    <t xml:space="preserve">GI bleeding risk</t>
  </si>
  <si>
    <t xml:space="preserve">Limit alcohol. Use PPI if needed.</t>
  </si>
  <si>
    <t xml:space="preserve">source_id</t>
  </si>
  <si>
    <t xml:space="preserve">year</t>
  </si>
  <si>
    <t xml:space="preserve">condition</t>
  </si>
  <si>
    <t xml:space="preserve">section</t>
  </si>
  <si>
    <t xml:space="preserve">recommendation</t>
  </si>
  <si>
    <t xml:space="preserve">evidence_level</t>
  </si>
  <si>
    <t xml:space="preserve">RSSDI</t>
  </si>
  <si>
    <t xml:space="preserve">diabetes</t>
  </si>
  <si>
    <t xml:space="preserve">Diagnosis</t>
  </si>
  <si>
    <t xml:space="preserve">Diabetes diagnosis: FPG ≥126 mg/dL OR 2-h PG ≥200 mg/dL on 75g OGTT OR HbA1c ≥6.5%. Asymptomatic patients need confirmatory repeat test.</t>
  </si>
  <si>
    <t xml:space="preserve">A</t>
  </si>
  <si>
    <t xml:space="preserve">First-line therapy</t>
  </si>
  <si>
    <t xml:space="preserve">Metformin is first-line at diagnosis combined with lifestyle intervention. If contraindicated: sulfonylurea, TZD, DPP4i, SGLT2i, AGI, or oral GLP-1 RA.</t>
  </si>
  <si>
    <t xml:space="preserve">Dual therapy</t>
  </si>
  <si>
    <t xml:space="preserve">Add SGLT2i, DPP4i, sulfonylurea, TZD, AGI or oral GLP-1 RA when targets not achieved on metformin. Patient-centric choice.</t>
  </si>
  <si>
    <t xml:space="preserve">ASCVD/HF/CKD comorbidity</t>
  </si>
  <si>
    <t xml:space="preserve">In patients with established or high-risk ASCVD, heart failure, diabetic kidney disease, or need for weight loss: prefer SGLT2 inhibitors or GLP-1 RA.</t>
  </si>
  <si>
    <t xml:space="preserve">["diabetes","cardiovascular","heart_failure","ckd"]</t>
  </si>
  <si>
    <t xml:space="preserve">Elderly with hypoglycemia risk</t>
  </si>
  <si>
    <t xml:space="preserve">In elderly patients with increased risk of hypoglycemia, use a DPP4 inhibitor as an alternative to sulfonylurea.</t>
  </si>
  <si>
    <t xml:space="preserve">["diabetes","elderly"]</t>
  </si>
  <si>
    <t xml:space="preserve">HbA1c targets</t>
  </si>
  <si>
    <t xml:space="preserve">General target HbA1c &lt;7%. Stricter &lt;6.5% for young, no comorbidities. Relaxed 7.5-8% for elderly with comorbidities, hypoglycemia history, or limited life expectancy.</t>
  </si>
  <si>
    <t xml:space="preserve">Insulin initiation</t>
  </si>
  <si>
    <t xml:space="preserve">Initiate insulin in T2DM patients failing three oral agents, with HbA1c &gt;1-1.5% above target, with severe symptomatic hyperglycemia, or in unstable state.</t>
  </si>
  <si>
    <t xml:space="preserve">Diet (Indian context)</t>
  </si>
  <si>
    <t xml:space="preserve">Carbohydrates 50-60% of calories. Prefer complex carbs and low-GI foods. Limit white rice (GI 73); prefer brown rice (GI 68) or millets. Fiber 25-40g/day. Salt &lt;5g/day.</t>
  </si>
  <si>
    <t xml:space="preserve">Physical activity</t>
  </si>
  <si>
    <t xml:space="preserve">Minimum 150 min/week moderate aerobic activity. ≥30 min/day. Resistance training 3x/week. At least 5000 steps/day.</t>
  </si>
  <si>
    <t xml:space="preserve">Postprandial hyperglycemia</t>
  </si>
  <si>
    <t xml:space="preserve">Target PPG &lt;160 mg/dL. AGIs, glinides or SGLT2 inhibitors may be considered for PPG control. Indian diets cause higher PPG due to high-GI traditional foods.</t>
  </si>
  <si>
    <t xml:space="preserve">Limited care / resource-constrained</t>
  </si>
  <si>
    <t xml:space="preserve">In resource-constrained settings: sulfonylurea or metformin or TZDs may be used. Newer SUs (gliclazide) preferred for low cost and reduced hypoglycemia vs older SUs.</t>
  </si>
  <si>
    <t xml:space="preserve">B</t>
  </si>
  <si>
    <t xml:space="preserve">CSI</t>
  </si>
  <si>
    <t xml:space="preserve">cardiovascular</t>
  </si>
  <si>
    <t xml:space="preserve">STEMI diagnosis</t>
  </si>
  <si>
    <t xml:space="preserve">Diagnose STEMI based on ECG: ST elevation ≥1mm in 2 contiguous limb leads or ≥2mm in 2 contiguous precordial leads. Troponin (I or T) elevation &gt;99th percentile confirms MI.</t>
  </si>
  <si>
    <t xml:space="preserve">STEMI primary PCI</t>
  </si>
  <si>
    <t xml:space="preserve">Primary PCI is preferred reperfusion strategy if door-to-balloon time ≤90 min at PCI-capable center, or ≤120 min from first medical contact at non-PCI center.</t>
  </si>
  <si>
    <t xml:space="preserve">STEMI fibrinolysis when no PCI</t>
  </si>
  <si>
    <t xml:space="preserve">If PCI not available within 120 min, give fibrinolysis within 30 min of arrival. Streptokinase (₹5-8K, non-fibrin-specific, 1h infusion) or Tenecteplase (₹25-35K, weight-based bolus, fibrin-specific). Tenecteplase preferred if affordable.</t>
  </si>
  <si>
    <t xml:space="preserve">STEMI dual antiplatelet</t>
  </si>
  <si>
    <t xml:space="preserve">Loading: Aspirin 162-325mg PO + P2Y12 inhibitor. Ticagrelor 180mg preferred over Clopidogrel 600mg in ACS (PLATO). Continue DAPT 12 months post-ACS.</t>
  </si>
  <si>
    <t xml:space="preserve">STEMI anticoagulation</t>
  </si>
  <si>
    <t xml:space="preserve">Anticoagulation in addition to antiplatelets: Unfractionated heparin IV bolus 60 U/kg + infusion, OR Enoxaparin 1 mg/kg SC BD (1 mg/kg OD if eGFR &lt;30).</t>
  </si>
  <si>
    <t xml:space="preserve">Post-MI medication regimen</t>
  </si>
  <si>
    <t xml:space="preserve">Post-MI: DAPT (aspirin + P2Y12i) for 12 months, statin (atorvastatin 80mg or rosuvastatin 40mg), beta blocker (carvedilol/metoprolol/bisoprolol), ACEi/ARB (ramipril/telmisartan).</t>
  </si>
  <si>
    <t xml:space="preserve">STEMI in non-PCI centers</t>
  </si>
  <si>
    <t xml:space="preserve">In non-PCI capable hospitals: fibrinolysis within 30 min of arrival, then transfer to PCI-capable center within 24h (pharmaco-invasive strategy).</t>
  </si>
  <si>
    <t xml:space="preserve">Penicillin allergy considerations</t>
  </si>
  <si>
    <t xml:space="preserve">Penicillin allergy is NOT a contraindication for aspirin, clopidogrel, ticagrelor, heparin, or fibrinolytics. Document allergy for antibiotic prescribing during admission.</t>
  </si>
  <si>
    <t xml:space="preserve">IHRS/CSI</t>
  </si>
  <si>
    <t xml:space="preserve">AF stroke risk - CHA2DS2-VASc</t>
  </si>
  <si>
    <t xml:space="preserve">Calculate CHA2DS2-VASc for non-valvular AF. Score ≥2 men or ≥3 women: oral anticoagulation indicated. Score 1 men or 2 women: consider OAC.</t>
  </si>
  <si>
    <t xml:space="preserve">["cardiovascular","atrial_fibrillation"]</t>
  </si>
  <si>
    <t xml:space="preserve">AF anticoagulation choice</t>
  </si>
  <si>
    <t xml:space="preserve">Non-valvular AF: DOAC (apixaban, rivaroxaban, dabigatran) preferred over warfarin. Valvular (rheumatic) AF or mechanical valve: WARFARIN ONLY (DOACs contraindicated). RHD is common in India.</t>
  </si>
  <si>
    <t xml:space="preserve">Triple therapy post-PCI + AF</t>
  </si>
  <si>
    <t xml:space="preserve">Patients with AF + recent PCI requiring triple therapy: shorten triple therapy duration (1-4 weeks), then drop aspirin → continue P2Y12i + DOAC for up to 12 months, then DOAC alone.</t>
  </si>
  <si>
    <t xml:space="preserve">RSSDI+CSI</t>
  </si>
  <si>
    <t xml:space="preserve">overlap</t>
  </si>
  <si>
    <t xml:space="preserve">Diabetes + HFrEF (EF &lt;40%)</t>
  </si>
  <si>
    <t xml:space="preserve">SGLT2 inhibitor (empagliflozin or dapagliflozin) is first-line: dual benefit for glycemia AND heart failure (EMPEROR-Reduced, DAPA-HF). Use regardless of HbA1c if T2DM + HFrEF.</t>
  </si>
  <si>
    <t xml:space="preserve">Diabetes + HF - drugs to AVOID</t>
  </si>
  <si>
    <t xml:space="preserve">CONTRAINDICATED in HF: Pioglitazone (fluid retention), Saxagliptin (FDA black box - increased HF hospitalization in SAVOR-TIMI). CAUTION: Glimepiride/glibenclamide (hypoglycemia → cardiac events).</t>
  </si>
  <si>
    <t xml:space="preserve">["diabetes","heart_failure"]</t>
  </si>
  <si>
    <t xml:space="preserve">Diabetes + HF + CKD hyperkalemia</t>
  </si>
  <si>
    <t xml:space="preserve">In T2DM + HF + CKD on ACEi/ARB + spironolactone: monitor K+ at baseline, 1 week, then monthly. Hold spironolactone if K+ &gt;5.5. Adding SGLT2i mitigates hyperkalemia risk.</t>
  </si>
  <si>
    <t xml:space="preserve">["diabetes","heart_failure","ckd"]</t>
  </si>
  <si>
    <t xml:space="preserve">Diabetes + CKD drug choices</t>
  </si>
  <si>
    <t xml:space="preserve">In T2DM + CKD: SGLT2i (empagliflozin/dapagliflozin) or GLP-1 RA preferred for renoprotection. ACEi/ARB mandatory if albuminuria. Linagliptin if DPP4i needed (no renal dose adjustment).</t>
  </si>
  <si>
    <t xml:space="preserve">["diabetes","ckd"]</t>
  </si>
  <si>
    <t xml:space="preserve">Diabetes + NAFLD</t>
  </si>
  <si>
    <t xml:space="preserve">Pioglitazone has evidence for NASH improvement. SGLT2i emerging data for NAFLD. Both beneficial in fatty liver - but Pioglitazone CONTRAINDICATED if concurrent HF.</t>
  </si>
  <si>
    <t xml:space="preserve">["diabetes","nafld"]</t>
  </si>
  <si>
    <t xml:space="preserve">MoHFW_STG</t>
  </si>
  <si>
    <t xml:space="preserve">NLEM essential drugs - diabetes</t>
  </si>
  <si>
    <t xml:space="preserve">NLEM 2022 includes: Metformin, Glibenclamide, Gliclazide, Glimepiride, Insulin (regular, NPH, premixed 30/70). These are price-controlled and available at Jan Aushadhi.</t>
  </si>
  <si>
    <t xml:space="preserve">NLEM essential drugs - cardiovascular</t>
  </si>
  <si>
    <t xml:space="preserve">NLEM 2022 cardiovascular: Aspirin, Clopidogrel, Atorvastatin, Ramipril, Enalapril, Telmisartan, Metoprolol, Atenolol, Furosemide, Spironolactone, Digoxin, Warfarin, Amiodarone, Heparin, Streptokinase, GTN, ISMN.</t>
  </si>
  <si>
    <t xml:space="preserve">drug_id</t>
  </si>
  <si>
    <t xml:space="preserve">drug_name</t>
  </si>
  <si>
    <t xml:space="preserve">in_stock</t>
  </si>
  <si>
    <t xml:space="preserve">stock_level</t>
  </si>
  <si>
    <t xml:space="preserve">pharmacy_notes</t>
  </si>
  <si>
    <t xml:space="preserve">Multiple brands. Glyciphage SR most stocked.</t>
  </si>
  <si>
    <t xml:space="preserve">Amaryl + generics available.</t>
  </si>
  <si>
    <t xml:space="preserve">Diamicron MR primary stock.</t>
  </si>
  <si>
    <t xml:space="preserve">Older SU - limited stock.</t>
  </si>
  <si>
    <t xml:space="preserve">Most-prescribed DPP4i locally.</t>
  </si>
  <si>
    <t xml:space="preserve">Branded Januvia + generics.</t>
  </si>
  <si>
    <t xml:space="preserve">Galvus + Galvus Met FDCs.</t>
  </si>
  <si>
    <t xml:space="preserve">Trajenta - preferred for CKD.</t>
  </si>
  <si>
    <t xml:space="preserve">Not preferred due to HF black box. Available on indent.</t>
  </si>
  <si>
    <t xml:space="preserve">Jardiance widely stocked.</t>
  </si>
  <si>
    <t xml:space="preserve">Forxiga + generics. First-line for HFrEF.</t>
  </si>
  <si>
    <t xml:space="preserve">Limited use due to amputation risk.</t>
  </si>
  <si>
    <t xml:space="preserve">FLAG: avoid in HF patients.</t>
  </si>
  <si>
    <t xml:space="preserve">Lantus + Basalog biosimilar.</t>
  </si>
  <si>
    <t xml:space="preserve">Insulin Human 30/70</t>
  </si>
  <si>
    <t xml:space="preserve">Mixtard 30/70 - main premixed.</t>
  </si>
  <si>
    <t xml:space="preserve">Insulin Regular</t>
  </si>
  <si>
    <t xml:space="preserve">Actrapid IV for DKA.</t>
  </si>
  <si>
    <t xml:space="preserve">Victoza - high cost, low turnover.</t>
  </si>
  <si>
    <t xml:space="preserve">Trulicity - very expensive.</t>
  </si>
  <si>
    <t xml:space="preserve">Glucobay for postprandial.</t>
  </si>
  <si>
    <t xml:space="preserve">Metformin+Glimepiride FDC</t>
  </si>
  <si>
    <t xml:space="preserve">Glycomet-GP series widely used.</t>
  </si>
  <si>
    <t xml:space="preserve">Metformin+Teneligliptin FDC</t>
  </si>
  <si>
    <t xml:space="preserve">Zita Met popular.</t>
  </si>
  <si>
    <t xml:space="preserve">Metformin+Vildagliptin FDC</t>
  </si>
  <si>
    <t xml:space="preserve">Galvus Met.</t>
  </si>
  <si>
    <t xml:space="preserve">Ecosprin 75mg + 150mg in ED.</t>
  </si>
  <si>
    <t xml:space="preserve">Clopilet + Plavix stocked.</t>
  </si>
  <si>
    <t xml:space="preserve">Brilinta - first-line ACS antiplatelet.</t>
  </si>
  <si>
    <t xml:space="preserve">Effient - secondary choice.</t>
  </si>
  <si>
    <t xml:space="preserve">Standard ACS anticoagulation in ED/CCU.</t>
  </si>
  <si>
    <t xml:space="preserve">Clexane prefilled syringes available.</t>
  </si>
  <si>
    <t xml:space="preserve">Warf - cheap, INR clinic available.</t>
  </si>
  <si>
    <t xml:space="preserve">Xarelto + generics for non-valvular AF.</t>
  </si>
  <si>
    <t xml:space="preserve">Eliquis - preferred in elderly/bleeding risk.</t>
  </si>
  <si>
    <t xml:space="preserve">Pradaxa - reversal agent available (Praxbind).</t>
  </si>
  <si>
    <t xml:space="preserve">CRITICAL: stocked for thrombolysis. ~₹5-8K.</t>
  </si>
  <si>
    <t xml:space="preserve">TNKase - higher cost option. Single bolus.</t>
  </si>
  <si>
    <t xml:space="preserve">ACS loading dose 80mg available.</t>
  </si>
  <si>
    <t xml:space="preserve">Rozavel + generics.</t>
  </si>
  <si>
    <t xml:space="preserve">Cardace - first-line for HF/post-MI.</t>
  </si>
  <si>
    <t xml:space="preserve">Enam - cheap NLEM alternative.</t>
  </si>
  <si>
    <t xml:space="preserve">Telma - widely prescribed ARB.</t>
  </si>
  <si>
    <t xml:space="preserve">Metolar XL (succinate) for HF. Tartrate for ACS.</t>
  </si>
  <si>
    <t xml:space="preserve">Carloc - preferred for HFrEF.</t>
  </si>
  <si>
    <t xml:space="preserve">Concor available.</t>
  </si>
  <si>
    <t xml:space="preserve">Lasix IV + oral. Foundational diuretic.</t>
  </si>
  <si>
    <t xml:space="preserve">Aldactone - monitor K+ closely.</t>
  </si>
  <si>
    <t xml:space="preserve">Cordarone IV + oral. ICU stocked.</t>
  </si>
  <si>
    <t xml:space="preserve">Lanoxin - check levels available.</t>
  </si>
  <si>
    <t xml:space="preserve">Nitroglycerine SL</t>
  </si>
  <si>
    <t xml:space="preserve">Sorbitrate - ED essential.</t>
  </si>
  <si>
    <t xml:space="preserve">Monotrate - daily anti-anginal.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</si>
</sst>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1mg.com/drugs/glyciphage-sr-500mg-tablet-149311" TargetMode="External"/><Relationship Id="rId2" Type="http://schemas.openxmlformats.org/officeDocument/2006/relationships/hyperlink" Target="https://www.1mg.com/drugs/amaryl-1mg-tablet-12155" TargetMode="External"/><Relationship Id="rId3" Type="http://schemas.openxmlformats.org/officeDocument/2006/relationships/hyperlink" Target="https://www.1mg.com/drugs/glizid-mr-30-tablet-11796" TargetMode="External"/><Relationship Id="rId4" Type="http://schemas.openxmlformats.org/officeDocument/2006/relationships/hyperlink" Target="https://www.1mg.com/drugs/daonil-tablet-333076" TargetMode="External"/><Relationship Id="rId5" Type="http://schemas.openxmlformats.org/officeDocument/2006/relationships/hyperlink" Target="https://www.1mg.com/drugs/dynaglipt-tablet-323687" TargetMode="External"/><Relationship Id="rId6" Type="http://schemas.openxmlformats.org/officeDocument/2006/relationships/hyperlink" Target="https://www.1mg.com/drugs/sitasys-100mg-tablet-857560" TargetMode="External"/><Relationship Id="rId7" Type="http://schemas.openxmlformats.org/officeDocument/2006/relationships/hyperlink" Target="https://www.1mg.com/drugs/glyday-50-tablet-575621" TargetMode="External"/><Relationship Id="rId8" Type="http://schemas.openxmlformats.org/officeDocument/2006/relationships/hyperlink" Target="https://www.1mg.com/drugs/l-glip-5mg-tablet-1003435" TargetMode="External"/><Relationship Id="rId9" Type="http://schemas.openxmlformats.org/officeDocument/2006/relationships/hyperlink" Target="https://www.1mg.com/drugs/zaxaglit-2.5mg-tablet-668606" TargetMode="External"/><Relationship Id="rId10" Type="http://schemas.openxmlformats.org/officeDocument/2006/relationships/hyperlink" Target="https://www.1mg.com/drugs/gibtulio-10mg-tablet-336789" TargetMode="External"/><Relationship Id="rId11" Type="http://schemas.openxmlformats.org/officeDocument/2006/relationships/hyperlink" Target="https://www.1mg.com/drugs/oxra-5mg-tablet-333999" TargetMode="External"/><Relationship Id="rId12" Type="http://schemas.openxmlformats.org/officeDocument/2006/relationships/hyperlink" Target="https://www.netmeds.com/product/canagliflowin-100-tablet-10s-mb6p76-10893979" TargetMode="External"/><Relationship Id="rId13" Type="http://schemas.openxmlformats.org/officeDocument/2006/relationships/hyperlink" Target="https://www.1mg.com/drugs/pionorm-15-tablet-27703" TargetMode="External"/><Relationship Id="rId14" Type="http://schemas.openxmlformats.org/officeDocument/2006/relationships/hyperlink" Target="https://www.1mg.com/drugs/basalog-refill-solution-for-injection-164232" TargetMode="External"/><Relationship Id="rId15" Type="http://schemas.openxmlformats.org/officeDocument/2006/relationships/hyperlink" Target="https://www.1mg.com/drugs/huminsulin-30-70-suspension-for-injection-100iu-ml-115297" TargetMode="External"/><Relationship Id="rId16" Type="http://schemas.openxmlformats.org/officeDocument/2006/relationships/hyperlink" Target="https://www.1mg.com/drugs/huminsulin-r-40iu-ml-solution-for-injection-14549" TargetMode="External"/><Relationship Id="rId17" Type="http://schemas.openxmlformats.org/officeDocument/2006/relationships/hyperlink" Target="https://www.1mg.com/drugs/gliptoza-pre-filled-pen-1084868" TargetMode="External"/><Relationship Id="rId18" Type="http://schemas.openxmlformats.org/officeDocument/2006/relationships/hyperlink" Target="https://www.1mg.com/drugs/trulicity-0.75mg-pre-filled-pen-332260" TargetMode="External"/><Relationship Id="rId19" Type="http://schemas.openxmlformats.org/officeDocument/2006/relationships/hyperlink" Target="https://www.1mg.com/drugs/glucobay-25-tablet-40362" TargetMode="External"/><Relationship Id="rId20" Type="http://schemas.openxmlformats.org/officeDocument/2006/relationships/hyperlink" Target="https://www.1mg.com/drugs/azulix-0.5-mf-tablet-pr-497053" TargetMode="External"/><Relationship Id="rId21" Type="http://schemas.openxmlformats.org/officeDocument/2006/relationships/hyperlink" Target="https://www.1mg.com/drugs/dynaglipt-m-tablet-sr-337936" TargetMode="External"/><Relationship Id="rId22" Type="http://schemas.openxmlformats.org/officeDocument/2006/relationships/hyperlink" Target="https://www.1mg.com/drugs/ozovil-m-tablet-641750" TargetMode="External"/><Relationship Id="rId23" Type="http://schemas.openxmlformats.org/officeDocument/2006/relationships/hyperlink" Target="https://www.1mg.com/drugs/ecosprin-75-tablet-40765" TargetMode="External"/><Relationship Id="rId24" Type="http://schemas.openxmlformats.org/officeDocument/2006/relationships/hyperlink" Target="https://www.1mg.com/drugs/plavix-tablet-134976" TargetMode="External"/><Relationship Id="rId25" Type="http://schemas.openxmlformats.org/officeDocument/2006/relationships/hyperlink" Target="https://www.1mg.com/drugs/axcer-60mg-tablet-416014" TargetMode="External"/><Relationship Id="rId26" Type="http://schemas.openxmlformats.org/officeDocument/2006/relationships/hyperlink" Target="https://www.1mg.com/drugs/oresugrel-5mg-tablet-593762" TargetMode="External"/><Relationship Id="rId27" Type="http://schemas.openxmlformats.org/officeDocument/2006/relationships/hyperlink" Target="https://www.1mg.com/drugs/celhep-25000iu-injection-720100" TargetMode="External"/><Relationship Id="rId28" Type="http://schemas.openxmlformats.org/officeDocument/2006/relationships/hyperlink" Target="https://www.1mg.com/drugs/exhep-20-injection-301822" TargetMode="External"/><Relationship Id="rId29" Type="http://schemas.openxmlformats.org/officeDocument/2006/relationships/hyperlink" Target="https://www.1mg.com/drugs/warf-1-tablet-553037" TargetMode="External"/><Relationship Id="rId30" Type="http://schemas.openxmlformats.org/officeDocument/2006/relationships/hyperlink" Target="https://www.1mg.com/drugs/ordiban-tablet-647571" TargetMode="External"/><Relationship Id="rId31" Type="http://schemas.openxmlformats.org/officeDocument/2006/relationships/hyperlink" Target="https://www.1mg.com/drugs/eliquis-2.5mg-tablet-138240" TargetMode="External"/><Relationship Id="rId32" Type="http://schemas.openxmlformats.org/officeDocument/2006/relationships/hyperlink" Target="https://www.1mg.com/drugs/dabitra-110-capsule-408926" TargetMode="External"/><Relationship Id="rId33" Type="http://schemas.openxmlformats.org/officeDocument/2006/relationships/hyperlink" Target="https://www.1mg.com/drugs/thromboflux-1500000iu-injection-288098" TargetMode="External"/><Relationship Id="rId34" Type="http://schemas.openxmlformats.org/officeDocument/2006/relationships/hyperlink" Target="https://www.1mg.com/drugs/tenecterel-30mg-injection-kit-665741" TargetMode="External"/><Relationship Id="rId35" Type="http://schemas.openxmlformats.org/officeDocument/2006/relationships/hyperlink" Target="https://www.1mg.com/drugs/xtor-10-tablet-114371" TargetMode="External"/><Relationship Id="rId36" Type="http://schemas.openxmlformats.org/officeDocument/2006/relationships/hyperlink" Target="https://www.1mg.com/drugs/consivas-5-tablet-31061" TargetMode="External"/><Relationship Id="rId37" Type="http://schemas.openxmlformats.org/officeDocument/2006/relationships/hyperlink" Target="https://www.1mg.com/drugs/ziram-2.5-tablet-30210" TargetMode="External"/><Relationship Id="rId38" Type="http://schemas.openxmlformats.org/officeDocument/2006/relationships/hyperlink" Target="https://www.1mg.com/drugs/el-2.5mg-tablet-266697" TargetMode="External"/><Relationship Id="rId39" Type="http://schemas.openxmlformats.org/officeDocument/2006/relationships/hyperlink" Target="https://www.1mg.com/drugs/telmikind-20-tablet-73132" TargetMode="External"/><Relationship Id="rId40" Type="http://schemas.openxmlformats.org/officeDocument/2006/relationships/hyperlink" Target="https://www.1mg.com/drugs/metzok-12.5-tablet-pr-18452" TargetMode="External"/><Relationship Id="rId41" Type="http://schemas.openxmlformats.org/officeDocument/2006/relationships/hyperlink" Target="https://www.1mg.com/drugs/carvil-3.125-tablet-239740" TargetMode="External"/><Relationship Id="rId42" Type="http://schemas.openxmlformats.org/officeDocument/2006/relationships/hyperlink" Target="https://www.1mg.com/drugs/biselect-2.5-tablet-48503" TargetMode="External"/><Relationship Id="rId43" Type="http://schemas.openxmlformats.org/officeDocument/2006/relationships/hyperlink" Target="https://www.1mg.com/drugs/lasix-tablet-69762" TargetMode="External"/><Relationship Id="rId44" Type="http://schemas.openxmlformats.org/officeDocument/2006/relationships/hyperlink" Target="https://www.1mg.com/drugs/aldactone-tablet-116839" TargetMode="External"/><Relationship Id="rId45" Type="http://schemas.openxmlformats.org/officeDocument/2006/relationships/hyperlink" Target="https://www.1mg.com/drugs/tachyra-100-tablet-43493" TargetMode="External"/><Relationship Id="rId46" Type="http://schemas.openxmlformats.org/officeDocument/2006/relationships/hyperlink" Target="https://www.1mg.com/drugs/lanoxin-tablet-39496" TargetMode="External"/><Relationship Id="rId47" Type="http://schemas.openxmlformats.org/officeDocument/2006/relationships/hyperlink" Target="https://www.indiamart.com/proddetail/nitrglycerine-controlled-release-26199997273.html" TargetMode="External"/><Relationship Id="rId48" Type="http://schemas.openxmlformats.org/officeDocument/2006/relationships/hyperlink" Target="https://www.1mg.com/drugs/monotrate-10-tablet-11900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5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"/>
  <sheetViews>
    <sheetView showFormulas="false" showGridLines="true" showRowColHeaders="true" showZeros="true" rightToLeft="false" tabSelected="true" showOutlineSymbols="true" defaultGridColor="true" view="normal" topLeftCell="I1" colorId="64" zoomScale="81" zoomScaleNormal="81" zoomScalePageLayoutView="100" workbookViewId="0">
      <pane xSplit="0" ySplit="1" topLeftCell="A2" activePane="bottomLeft" state="frozen"/>
      <selection pane="topLeft" activeCell="I1" activeCellId="0" sqref="I1"/>
      <selection pane="bottomLeft" activeCell="J15" activeCellId="0" sqref="J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22"/>
    <col collapsed="false" customWidth="true" hidden="false" outlineLevel="0" max="6" min="6" style="0" width="28"/>
    <col collapsed="false" customWidth="true" hidden="false" outlineLevel="0" max="8" min="7" style="0" width="22"/>
    <col collapsed="false" customWidth="true" hidden="false" outlineLevel="0" max="9" min="9" style="0" width="10"/>
    <col collapsed="false" customWidth="true" hidden="false" outlineLevel="0" max="10" min="10" style="0" width="50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32"/>
    <col collapsed="false" customWidth="true" hidden="false" outlineLevel="0" max="16" min="16" style="0" width="60"/>
  </cols>
  <sheetData>
    <row r="1" customFormat="false" ht="31.5" hidden="false" customHeight="true" outlineLevel="0" collapsed="false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</row>
    <row r="2" customFormat="false" ht="35" hidden="false" customHeight="false" outlineLevel="0" collapsed="false">
      <c r="A2" s="7" t="n">
        <v>1</v>
      </c>
      <c r="B2" s="7" t="s">
        <v>40</v>
      </c>
      <c r="C2" s="7" t="s">
        <v>41</v>
      </c>
      <c r="D2" s="7" t="s">
        <v>42</v>
      </c>
      <c r="E2" s="7" t="s">
        <v>43</v>
      </c>
      <c r="F2" s="8" t="s">
        <v>44</v>
      </c>
      <c r="G2" s="8" t="s">
        <v>45</v>
      </c>
      <c r="H2" s="8" t="s">
        <v>46</v>
      </c>
      <c r="I2" s="9" t="b">
        <f aca="false">TRUE()</f>
        <v>1</v>
      </c>
      <c r="J2" s="7" t="s">
        <v>47</v>
      </c>
      <c r="K2" s="9" t="b">
        <f aca="false">TRUE()</f>
        <v>1</v>
      </c>
      <c r="L2" s="7" t="s">
        <v>48</v>
      </c>
      <c r="M2" s="7" t="s">
        <v>49</v>
      </c>
      <c r="N2" s="7" t="s">
        <v>50</v>
      </c>
      <c r="O2" s="10" t="s">
        <v>51</v>
      </c>
      <c r="P2" s="7" t="s">
        <v>52</v>
      </c>
    </row>
    <row r="3" customFormat="false" ht="23.85" hidden="false" customHeight="false" outlineLevel="0" collapsed="false">
      <c r="A3" s="7" t="n">
        <v>2</v>
      </c>
      <c r="B3" s="7" t="s">
        <v>53</v>
      </c>
      <c r="C3" s="7" t="s">
        <v>54</v>
      </c>
      <c r="D3" s="7" t="s">
        <v>55</v>
      </c>
      <c r="E3" s="7" t="s">
        <v>56</v>
      </c>
      <c r="F3" s="8" t="s">
        <v>57</v>
      </c>
      <c r="G3" s="8" t="s">
        <v>58</v>
      </c>
      <c r="H3" s="8" t="s">
        <v>59</v>
      </c>
      <c r="I3" s="9" t="b">
        <f aca="false">TRUE()</f>
        <v>1</v>
      </c>
      <c r="J3" s="7" t="s">
        <v>60</v>
      </c>
      <c r="K3" s="9" t="b">
        <f aca="false">TRUE()</f>
        <v>1</v>
      </c>
      <c r="L3" s="7" t="s">
        <v>61</v>
      </c>
      <c r="M3" s="7" t="s">
        <v>62</v>
      </c>
      <c r="N3" s="7" t="s">
        <v>50</v>
      </c>
      <c r="O3" s="10" t="s">
        <v>63</v>
      </c>
      <c r="P3" s="7" t="s">
        <v>64</v>
      </c>
    </row>
    <row r="4" customFormat="false" ht="23.95" hidden="false" customHeight="false" outlineLevel="0" collapsed="false">
      <c r="A4" s="7" t="n">
        <v>3</v>
      </c>
      <c r="B4" s="7" t="s">
        <v>65</v>
      </c>
      <c r="C4" s="7" t="s">
        <v>66</v>
      </c>
      <c r="D4" s="7" t="s">
        <v>55</v>
      </c>
      <c r="E4" s="7" t="s">
        <v>56</v>
      </c>
      <c r="F4" s="8" t="s">
        <v>67</v>
      </c>
      <c r="G4" s="8" t="s">
        <v>68</v>
      </c>
      <c r="H4" s="8" t="s">
        <v>69</v>
      </c>
      <c r="I4" s="9" t="b">
        <f aca="false">TRUE()</f>
        <v>1</v>
      </c>
      <c r="J4" s="7" t="s">
        <v>70</v>
      </c>
      <c r="K4" s="9" t="b">
        <f aca="false">FALSE()</f>
        <v>0</v>
      </c>
      <c r="L4" s="7" t="s">
        <v>61</v>
      </c>
      <c r="M4" s="7" t="s">
        <v>71</v>
      </c>
      <c r="N4" s="7" t="s">
        <v>50</v>
      </c>
      <c r="O4" s="10" t="s">
        <v>72</v>
      </c>
      <c r="P4" s="7" t="s">
        <v>73</v>
      </c>
    </row>
    <row r="5" customFormat="false" ht="23.95" hidden="false" customHeight="false" outlineLevel="0" collapsed="false">
      <c r="A5" s="7" t="n">
        <v>4</v>
      </c>
      <c r="B5" s="7" t="s">
        <v>74</v>
      </c>
      <c r="C5" s="7" t="s">
        <v>75</v>
      </c>
      <c r="D5" s="7" t="s">
        <v>55</v>
      </c>
      <c r="E5" s="7" t="s">
        <v>76</v>
      </c>
      <c r="F5" s="8" t="s">
        <v>77</v>
      </c>
      <c r="G5" s="8" t="s">
        <v>58</v>
      </c>
      <c r="H5" s="8" t="s">
        <v>78</v>
      </c>
      <c r="I5" s="9" t="b">
        <f aca="false">TRUE()</f>
        <v>1</v>
      </c>
      <c r="J5" s="7" t="s">
        <v>79</v>
      </c>
      <c r="K5" s="9" t="b">
        <f aca="false">FALSE()</f>
        <v>0</v>
      </c>
      <c r="L5" s="7" t="s">
        <v>61</v>
      </c>
      <c r="M5" s="7" t="s">
        <v>62</v>
      </c>
      <c r="N5" s="7" t="s">
        <v>50</v>
      </c>
      <c r="O5" s="10" t="s">
        <v>80</v>
      </c>
      <c r="P5" s="7" t="s">
        <v>81</v>
      </c>
    </row>
    <row r="6" customFormat="false" ht="23.85" hidden="false" customHeight="false" outlineLevel="0" collapsed="false">
      <c r="A6" s="7" t="n">
        <v>5</v>
      </c>
      <c r="B6" s="7" t="s">
        <v>82</v>
      </c>
      <c r="C6" s="7" t="s">
        <v>83</v>
      </c>
      <c r="D6" s="7" t="s">
        <v>84</v>
      </c>
      <c r="E6" s="7" t="s">
        <v>43</v>
      </c>
      <c r="F6" s="8" t="s">
        <v>85</v>
      </c>
      <c r="G6" s="8" t="s">
        <v>68</v>
      </c>
      <c r="H6" s="8" t="s">
        <v>86</v>
      </c>
      <c r="I6" s="9" t="b">
        <f aca="false">FALSE()</f>
        <v>0</v>
      </c>
      <c r="J6" s="7" t="s">
        <v>87</v>
      </c>
      <c r="K6" s="9" t="b">
        <f aca="false">TRUE()</f>
        <v>1</v>
      </c>
      <c r="L6" s="7" t="s">
        <v>48</v>
      </c>
      <c r="M6" s="7" t="s">
        <v>49</v>
      </c>
      <c r="N6" s="7" t="s">
        <v>50</v>
      </c>
      <c r="O6" s="10" t="s">
        <v>88</v>
      </c>
      <c r="P6" s="7" t="s">
        <v>89</v>
      </c>
    </row>
    <row r="7" customFormat="false" ht="23.85" hidden="false" customHeight="false" outlineLevel="0" collapsed="false">
      <c r="A7" s="7" t="n">
        <v>6</v>
      </c>
      <c r="B7" s="7" t="s">
        <v>90</v>
      </c>
      <c r="C7" s="7" t="s">
        <v>91</v>
      </c>
      <c r="D7" s="7" t="s">
        <v>84</v>
      </c>
      <c r="E7" s="7" t="s">
        <v>43</v>
      </c>
      <c r="F7" s="8" t="s">
        <v>92</v>
      </c>
      <c r="G7" s="8" t="s">
        <v>93</v>
      </c>
      <c r="H7" s="8" t="s">
        <v>94</v>
      </c>
      <c r="I7" s="9" t="b">
        <f aca="false">FALSE()</f>
        <v>0</v>
      </c>
      <c r="J7" s="7" t="s">
        <v>95</v>
      </c>
      <c r="K7" s="9" t="b">
        <f aca="false">TRUE()</f>
        <v>1</v>
      </c>
      <c r="L7" s="7" t="s">
        <v>48</v>
      </c>
      <c r="M7" s="7" t="s">
        <v>49</v>
      </c>
      <c r="N7" s="7" t="s">
        <v>50</v>
      </c>
      <c r="O7" s="10" t="s">
        <v>96</v>
      </c>
      <c r="P7" s="7" t="s">
        <v>97</v>
      </c>
    </row>
    <row r="8" customFormat="false" ht="23.95" hidden="false" customHeight="false" outlineLevel="0" collapsed="false">
      <c r="A8" s="7" t="n">
        <v>7</v>
      </c>
      <c r="B8" s="7" t="s">
        <v>98</v>
      </c>
      <c r="C8" s="7" t="s">
        <v>99</v>
      </c>
      <c r="D8" s="7" t="s">
        <v>84</v>
      </c>
      <c r="E8" s="7" t="s">
        <v>43</v>
      </c>
      <c r="F8" s="8" t="s">
        <v>100</v>
      </c>
      <c r="G8" s="8" t="s">
        <v>101</v>
      </c>
      <c r="H8" s="8" t="s">
        <v>102</v>
      </c>
      <c r="I8" s="9" t="b">
        <f aca="false">FALSE()</f>
        <v>0</v>
      </c>
      <c r="J8" s="7" t="s">
        <v>103</v>
      </c>
      <c r="K8" s="9" t="b">
        <f aca="false">TRUE()</f>
        <v>1</v>
      </c>
      <c r="L8" s="7" t="s">
        <v>48</v>
      </c>
      <c r="M8" s="7" t="s">
        <v>49</v>
      </c>
      <c r="N8" s="7" t="s">
        <v>50</v>
      </c>
      <c r="O8" s="10" t="s">
        <v>104</v>
      </c>
      <c r="P8" s="7" t="s">
        <v>105</v>
      </c>
    </row>
    <row r="9" customFormat="false" ht="23.85" hidden="false" customHeight="false" outlineLevel="0" collapsed="false">
      <c r="A9" s="7" t="n">
        <v>8</v>
      </c>
      <c r="B9" s="7" t="s">
        <v>106</v>
      </c>
      <c r="C9" s="7" t="s">
        <v>107</v>
      </c>
      <c r="D9" s="7" t="s">
        <v>84</v>
      </c>
      <c r="E9" s="7" t="s">
        <v>43</v>
      </c>
      <c r="F9" s="8" t="s">
        <v>108</v>
      </c>
      <c r="G9" s="8" t="s">
        <v>109</v>
      </c>
      <c r="H9" s="8" t="s">
        <v>110</v>
      </c>
      <c r="I9" s="9" t="b">
        <f aca="false">FALSE()</f>
        <v>0</v>
      </c>
      <c r="J9" s="7" t="s">
        <v>111</v>
      </c>
      <c r="K9" s="9" t="b">
        <f aca="false">TRUE()</f>
        <v>1</v>
      </c>
      <c r="L9" s="7" t="s">
        <v>48</v>
      </c>
      <c r="M9" s="7" t="s">
        <v>49</v>
      </c>
      <c r="N9" s="7" t="s">
        <v>50</v>
      </c>
      <c r="O9" s="10" t="s">
        <v>112</v>
      </c>
      <c r="P9" s="7" t="s">
        <v>113</v>
      </c>
    </row>
    <row r="10" customFormat="false" ht="23.85" hidden="false" customHeight="false" outlineLevel="0" collapsed="false">
      <c r="A10" s="7" t="n">
        <v>9</v>
      </c>
      <c r="B10" s="7" t="s">
        <v>114</v>
      </c>
      <c r="C10" s="7" t="s">
        <v>115</v>
      </c>
      <c r="D10" s="7" t="s">
        <v>84</v>
      </c>
      <c r="E10" s="7" t="s">
        <v>43</v>
      </c>
      <c r="F10" s="8" t="s">
        <v>116</v>
      </c>
      <c r="G10" s="8" t="s">
        <v>117</v>
      </c>
      <c r="H10" s="8" t="s">
        <v>118</v>
      </c>
      <c r="I10" s="9" t="b">
        <f aca="false">FALSE()</f>
        <v>0</v>
      </c>
      <c r="J10" s="7" t="s">
        <v>119</v>
      </c>
      <c r="K10" s="9" t="b">
        <f aca="false">FALSE()</f>
        <v>0</v>
      </c>
      <c r="L10" s="7" t="s">
        <v>48</v>
      </c>
      <c r="M10" s="7" t="s">
        <v>49</v>
      </c>
      <c r="N10" s="7" t="s">
        <v>50</v>
      </c>
      <c r="O10" s="10" t="s">
        <v>120</v>
      </c>
      <c r="P10" s="7" t="s">
        <v>121</v>
      </c>
    </row>
    <row r="11" customFormat="false" ht="23.85" hidden="false" customHeight="false" outlineLevel="0" collapsed="false">
      <c r="A11" s="7" t="n">
        <v>10</v>
      </c>
      <c r="B11" s="7" t="s">
        <v>122</v>
      </c>
      <c r="C11" s="7" t="s">
        <v>123</v>
      </c>
      <c r="D11" s="7" t="s">
        <v>124</v>
      </c>
      <c r="E11" s="7" t="s">
        <v>43</v>
      </c>
      <c r="F11" s="8" t="s">
        <v>125</v>
      </c>
      <c r="G11" s="8" t="s">
        <v>126</v>
      </c>
      <c r="H11" s="8" t="s">
        <v>127</v>
      </c>
      <c r="I11" s="9" t="b">
        <f aca="false">FALSE()</f>
        <v>0</v>
      </c>
      <c r="J11" s="7" t="s">
        <v>128</v>
      </c>
      <c r="K11" s="9" t="b">
        <f aca="false">TRUE()</f>
        <v>1</v>
      </c>
      <c r="L11" s="7" t="s">
        <v>129</v>
      </c>
      <c r="M11" s="7" t="s">
        <v>49</v>
      </c>
      <c r="N11" s="7" t="s">
        <v>130</v>
      </c>
      <c r="O11" s="10" t="s">
        <v>131</v>
      </c>
      <c r="P11" s="7" t="s">
        <v>132</v>
      </c>
    </row>
    <row r="12" customFormat="false" ht="23.85" hidden="false" customHeight="false" outlineLevel="0" collapsed="false">
      <c r="A12" s="7" t="n">
        <v>11</v>
      </c>
      <c r="B12" s="7" t="s">
        <v>133</v>
      </c>
      <c r="C12" s="7" t="s">
        <v>134</v>
      </c>
      <c r="D12" s="7" t="s">
        <v>124</v>
      </c>
      <c r="E12" s="7" t="s">
        <v>43</v>
      </c>
      <c r="F12" s="8" t="s">
        <v>135</v>
      </c>
      <c r="G12" s="8" t="s">
        <v>136</v>
      </c>
      <c r="H12" s="8" t="s">
        <v>137</v>
      </c>
      <c r="I12" s="9" t="b">
        <f aca="false">FALSE()</f>
        <v>0</v>
      </c>
      <c r="J12" s="7" t="s">
        <v>138</v>
      </c>
      <c r="K12" s="9" t="b">
        <f aca="false">TRUE()</f>
        <v>1</v>
      </c>
      <c r="L12" s="7" t="s">
        <v>129</v>
      </c>
      <c r="M12" s="7" t="s">
        <v>49</v>
      </c>
      <c r="N12" s="7" t="s">
        <v>130</v>
      </c>
      <c r="O12" s="10" t="s">
        <v>139</v>
      </c>
      <c r="P12" s="7" t="s">
        <v>140</v>
      </c>
    </row>
    <row r="13" customFormat="false" ht="23.85" hidden="false" customHeight="false" outlineLevel="0" collapsed="false">
      <c r="A13" s="7" t="n">
        <v>12</v>
      </c>
      <c r="B13" s="7" t="s">
        <v>141</v>
      </c>
      <c r="C13" s="7" t="s">
        <v>142</v>
      </c>
      <c r="D13" s="7" t="s">
        <v>124</v>
      </c>
      <c r="E13" s="7" t="s">
        <v>43</v>
      </c>
      <c r="F13" s="8" t="s">
        <v>143</v>
      </c>
      <c r="G13" s="8" t="s">
        <v>144</v>
      </c>
      <c r="H13" s="8" t="s">
        <v>145</v>
      </c>
      <c r="I13" s="9" t="b">
        <f aca="false">FALSE()</f>
        <v>0</v>
      </c>
      <c r="J13" s="7" t="s">
        <v>146</v>
      </c>
      <c r="K13" s="9" t="b">
        <f aca="false">TRUE()</f>
        <v>1</v>
      </c>
      <c r="L13" s="7" t="s">
        <v>129</v>
      </c>
      <c r="M13" s="7" t="s">
        <v>49</v>
      </c>
      <c r="N13" s="7" t="s">
        <v>147</v>
      </c>
      <c r="O13" s="10" t="s">
        <v>148</v>
      </c>
      <c r="P13" s="7" t="s">
        <v>149</v>
      </c>
    </row>
    <row r="14" customFormat="false" ht="23.85" hidden="false" customHeight="false" outlineLevel="0" collapsed="false">
      <c r="A14" s="7" t="n">
        <v>13</v>
      </c>
      <c r="B14" s="7" t="s">
        <v>150</v>
      </c>
      <c r="C14" s="7" t="s">
        <v>151</v>
      </c>
      <c r="D14" s="7" t="s">
        <v>152</v>
      </c>
      <c r="E14" s="7" t="s">
        <v>43</v>
      </c>
      <c r="F14" s="8" t="s">
        <v>153</v>
      </c>
      <c r="G14" s="8" t="s">
        <v>154</v>
      </c>
      <c r="H14" s="8" t="s">
        <v>155</v>
      </c>
      <c r="I14" s="9" t="b">
        <f aca="false">FALSE()</f>
        <v>0</v>
      </c>
      <c r="J14" s="7" t="s">
        <v>87</v>
      </c>
      <c r="K14" s="9" t="b">
        <f aca="false">FALSE()</f>
        <v>0</v>
      </c>
      <c r="L14" s="7" t="s">
        <v>61</v>
      </c>
      <c r="M14" s="7" t="s">
        <v>49</v>
      </c>
      <c r="N14" s="7" t="s">
        <v>50</v>
      </c>
      <c r="O14" s="10" t="s">
        <v>156</v>
      </c>
      <c r="P14" s="7" t="s">
        <v>157</v>
      </c>
    </row>
    <row r="15" customFormat="false" ht="23.85" hidden="false" customHeight="false" outlineLevel="0" collapsed="false">
      <c r="A15" s="7" t="n">
        <v>14</v>
      </c>
      <c r="B15" s="7" t="s">
        <v>158</v>
      </c>
      <c r="C15" s="7" t="s">
        <v>159</v>
      </c>
      <c r="D15" s="7" t="s">
        <v>160</v>
      </c>
      <c r="E15" s="7" t="s">
        <v>161</v>
      </c>
      <c r="F15" s="8" t="s">
        <v>162</v>
      </c>
      <c r="G15" s="8" t="s">
        <v>163</v>
      </c>
      <c r="H15" s="8" t="s">
        <v>164</v>
      </c>
      <c r="I15" s="9" t="b">
        <f aca="false">FALSE()</f>
        <v>0</v>
      </c>
      <c r="J15" s="7" t="s">
        <v>165</v>
      </c>
      <c r="K15" s="9" t="b">
        <f aca="false">TRUE()</f>
        <v>1</v>
      </c>
      <c r="L15" s="7" t="s">
        <v>61</v>
      </c>
      <c r="M15" s="7" t="s">
        <v>62</v>
      </c>
      <c r="N15" s="7" t="s">
        <v>50</v>
      </c>
      <c r="O15" s="10" t="s">
        <v>166</v>
      </c>
      <c r="P15" s="7" t="s">
        <v>167</v>
      </c>
    </row>
    <row r="16" customFormat="false" ht="23.85" hidden="false" customHeight="false" outlineLevel="0" collapsed="false">
      <c r="A16" s="7" t="n">
        <v>15</v>
      </c>
      <c r="B16" s="7" t="s">
        <v>168</v>
      </c>
      <c r="C16" s="7" t="s">
        <v>169</v>
      </c>
      <c r="D16" s="7" t="s">
        <v>160</v>
      </c>
      <c r="E16" s="7" t="s">
        <v>170</v>
      </c>
      <c r="F16" s="8" t="s">
        <v>171</v>
      </c>
      <c r="G16" s="8" t="s">
        <v>172</v>
      </c>
      <c r="H16" s="8" t="s">
        <v>173</v>
      </c>
      <c r="I16" s="9" t="b">
        <f aca="false">TRUE()</f>
        <v>1</v>
      </c>
      <c r="J16" s="7" t="s">
        <v>165</v>
      </c>
      <c r="K16" s="9" t="b">
        <f aca="false">TRUE()</f>
        <v>1</v>
      </c>
      <c r="L16" s="7" t="s">
        <v>61</v>
      </c>
      <c r="M16" s="7" t="s">
        <v>62</v>
      </c>
      <c r="N16" s="7" t="s">
        <v>50</v>
      </c>
      <c r="O16" s="10" t="s">
        <v>174</v>
      </c>
      <c r="P16" s="7" t="s">
        <v>175</v>
      </c>
    </row>
    <row r="17" customFormat="false" ht="23.85" hidden="false" customHeight="false" outlineLevel="0" collapsed="false">
      <c r="A17" s="7" t="n">
        <v>16</v>
      </c>
      <c r="B17" s="7" t="s">
        <v>176</v>
      </c>
      <c r="C17" s="7" t="s">
        <v>177</v>
      </c>
      <c r="D17" s="7" t="s">
        <v>160</v>
      </c>
      <c r="E17" s="7" t="s">
        <v>178</v>
      </c>
      <c r="F17" s="8" t="s">
        <v>179</v>
      </c>
      <c r="G17" s="8" t="s">
        <v>172</v>
      </c>
      <c r="H17" s="8" t="s">
        <v>180</v>
      </c>
      <c r="I17" s="9" t="b">
        <f aca="false">TRUE()</f>
        <v>1</v>
      </c>
      <c r="J17" s="7" t="s">
        <v>165</v>
      </c>
      <c r="K17" s="9" t="b">
        <f aca="false">TRUE()</f>
        <v>1</v>
      </c>
      <c r="L17" s="7" t="s">
        <v>61</v>
      </c>
      <c r="M17" s="7" t="s">
        <v>62</v>
      </c>
      <c r="N17" s="7" t="s">
        <v>50</v>
      </c>
      <c r="O17" s="10" t="s">
        <v>181</v>
      </c>
      <c r="P17" s="7" t="s">
        <v>182</v>
      </c>
    </row>
    <row r="18" customFormat="false" ht="23.85" hidden="false" customHeight="false" outlineLevel="0" collapsed="false">
      <c r="A18" s="7" t="n">
        <v>17</v>
      </c>
      <c r="B18" s="7" t="s">
        <v>183</v>
      </c>
      <c r="C18" s="7" t="s">
        <v>184</v>
      </c>
      <c r="D18" s="7" t="s">
        <v>185</v>
      </c>
      <c r="E18" s="7" t="s">
        <v>186</v>
      </c>
      <c r="F18" s="8" t="s">
        <v>187</v>
      </c>
      <c r="G18" s="8" t="s">
        <v>188</v>
      </c>
      <c r="H18" s="8" t="s">
        <v>189</v>
      </c>
      <c r="I18" s="9" t="b">
        <f aca="false">FALSE()</f>
        <v>0</v>
      </c>
      <c r="J18" s="7" t="s">
        <v>190</v>
      </c>
      <c r="K18" s="9" t="b">
        <f aca="false">TRUE()</f>
        <v>1</v>
      </c>
      <c r="L18" s="7" t="s">
        <v>129</v>
      </c>
      <c r="M18" s="7" t="s">
        <v>49</v>
      </c>
      <c r="N18" s="7" t="s">
        <v>147</v>
      </c>
      <c r="O18" s="10" t="s">
        <v>191</v>
      </c>
      <c r="P18" s="7" t="s">
        <v>192</v>
      </c>
    </row>
    <row r="19" customFormat="false" ht="23.85" hidden="false" customHeight="false" outlineLevel="0" collapsed="false">
      <c r="A19" s="7" t="n">
        <v>18</v>
      </c>
      <c r="B19" s="7" t="s">
        <v>193</v>
      </c>
      <c r="C19" s="7" t="s">
        <v>194</v>
      </c>
      <c r="D19" s="7" t="s">
        <v>185</v>
      </c>
      <c r="E19" s="7" t="s">
        <v>195</v>
      </c>
      <c r="F19" s="8" t="s">
        <v>196</v>
      </c>
      <c r="G19" s="8" t="s">
        <v>172</v>
      </c>
      <c r="H19" s="8" t="s">
        <v>197</v>
      </c>
      <c r="I19" s="9" t="b">
        <f aca="false">FALSE()</f>
        <v>0</v>
      </c>
      <c r="J19" s="7" t="s">
        <v>198</v>
      </c>
      <c r="K19" s="9" t="b">
        <f aca="false">TRUE()</f>
        <v>1</v>
      </c>
      <c r="L19" s="7" t="s">
        <v>129</v>
      </c>
      <c r="M19" s="7" t="s">
        <v>49</v>
      </c>
      <c r="N19" s="7" t="s">
        <v>147</v>
      </c>
      <c r="O19" s="10" t="s">
        <v>199</v>
      </c>
      <c r="P19" s="7" t="s">
        <v>200</v>
      </c>
    </row>
    <row r="20" customFormat="false" ht="23.85" hidden="false" customHeight="false" outlineLevel="0" collapsed="false">
      <c r="A20" s="7" t="n">
        <v>19</v>
      </c>
      <c r="B20" s="7" t="s">
        <v>201</v>
      </c>
      <c r="C20" s="7" t="s">
        <v>202</v>
      </c>
      <c r="D20" s="7" t="s">
        <v>203</v>
      </c>
      <c r="E20" s="7" t="s">
        <v>43</v>
      </c>
      <c r="F20" s="8" t="s">
        <v>204</v>
      </c>
      <c r="G20" s="8" t="s">
        <v>205</v>
      </c>
      <c r="H20" s="8" t="s">
        <v>206</v>
      </c>
      <c r="I20" s="9" t="b">
        <f aca="false">FALSE()</f>
        <v>0</v>
      </c>
      <c r="J20" s="7" t="s">
        <v>207</v>
      </c>
      <c r="K20" s="9" t="b">
        <f aca="false">TRUE()</f>
        <v>1</v>
      </c>
      <c r="L20" s="7" t="s">
        <v>48</v>
      </c>
      <c r="M20" s="7" t="s">
        <v>49</v>
      </c>
      <c r="N20" s="7" t="s">
        <v>50</v>
      </c>
      <c r="O20" s="10" t="s">
        <v>208</v>
      </c>
      <c r="P20" s="7" t="s">
        <v>209</v>
      </c>
    </row>
    <row r="21" customFormat="false" ht="23.85" hidden="false" customHeight="false" outlineLevel="0" collapsed="false">
      <c r="A21" s="7" t="n">
        <v>20</v>
      </c>
      <c r="B21" s="7" t="s">
        <v>210</v>
      </c>
      <c r="C21" s="7" t="s">
        <v>211</v>
      </c>
      <c r="D21" s="7" t="s">
        <v>212</v>
      </c>
      <c r="E21" s="7" t="s">
        <v>213</v>
      </c>
      <c r="F21" s="8" t="s">
        <v>214</v>
      </c>
      <c r="G21" s="8" t="s">
        <v>215</v>
      </c>
      <c r="H21" s="8" t="s">
        <v>216</v>
      </c>
      <c r="I21" s="9" t="b">
        <f aca="false">FALSE()</f>
        <v>0</v>
      </c>
      <c r="J21" s="7" t="s">
        <v>217</v>
      </c>
      <c r="K21" s="9" t="b">
        <f aca="false">TRUE()</f>
        <v>1</v>
      </c>
      <c r="L21" s="7" t="s">
        <v>61</v>
      </c>
      <c r="M21" s="7" t="s">
        <v>62</v>
      </c>
      <c r="N21" s="7" t="s">
        <v>50</v>
      </c>
      <c r="O21" s="10" t="s">
        <v>218</v>
      </c>
      <c r="P21" s="7" t="s">
        <v>219</v>
      </c>
    </row>
    <row r="22" customFormat="false" ht="23.85" hidden="false" customHeight="false" outlineLevel="0" collapsed="false">
      <c r="A22" s="7" t="n">
        <v>21</v>
      </c>
      <c r="B22" s="7" t="s">
        <v>220</v>
      </c>
      <c r="C22" s="7" t="s">
        <v>221</v>
      </c>
      <c r="D22" s="7" t="s">
        <v>212</v>
      </c>
      <c r="E22" s="7" t="s">
        <v>222</v>
      </c>
      <c r="F22" s="8" t="s">
        <v>223</v>
      </c>
      <c r="G22" s="8" t="s">
        <v>68</v>
      </c>
      <c r="H22" s="8" t="s">
        <v>224</v>
      </c>
      <c r="I22" s="9" t="b">
        <f aca="false">FALSE()</f>
        <v>0</v>
      </c>
      <c r="J22" s="7" t="s">
        <v>225</v>
      </c>
      <c r="K22" s="9" t="b">
        <f aca="false">TRUE()</f>
        <v>1</v>
      </c>
      <c r="L22" s="7" t="s">
        <v>48</v>
      </c>
      <c r="M22" s="7" t="s">
        <v>49</v>
      </c>
      <c r="N22" s="7" t="s">
        <v>50</v>
      </c>
      <c r="O22" s="10" t="s">
        <v>226</v>
      </c>
      <c r="P22" s="7" t="s">
        <v>227</v>
      </c>
    </row>
    <row r="23" customFormat="false" ht="23.85" hidden="false" customHeight="false" outlineLevel="0" collapsed="false">
      <c r="A23" s="7" t="n">
        <v>22</v>
      </c>
      <c r="B23" s="7" t="s">
        <v>228</v>
      </c>
      <c r="C23" s="7" t="s">
        <v>229</v>
      </c>
      <c r="D23" s="7" t="s">
        <v>212</v>
      </c>
      <c r="E23" s="7" t="s">
        <v>222</v>
      </c>
      <c r="F23" s="8" t="s">
        <v>230</v>
      </c>
      <c r="G23" s="8" t="s">
        <v>231</v>
      </c>
      <c r="H23" s="8" t="s">
        <v>232</v>
      </c>
      <c r="I23" s="9" t="b">
        <f aca="false">FALSE()</f>
        <v>0</v>
      </c>
      <c r="J23" s="7" t="s">
        <v>233</v>
      </c>
      <c r="K23" s="9" t="b">
        <f aca="false">TRUE()</f>
        <v>1</v>
      </c>
      <c r="L23" s="7" t="s">
        <v>48</v>
      </c>
      <c r="M23" s="7" t="s">
        <v>49</v>
      </c>
      <c r="N23" s="7" t="s">
        <v>50</v>
      </c>
      <c r="O23" s="10" t="s">
        <v>234</v>
      </c>
      <c r="P23" s="7" t="s">
        <v>235</v>
      </c>
    </row>
    <row r="24" customFormat="false" ht="23.85" hidden="false" customHeight="false" outlineLevel="0" collapsed="false">
      <c r="A24" s="7" t="n">
        <v>23</v>
      </c>
      <c r="B24" s="7" t="s">
        <v>236</v>
      </c>
      <c r="C24" s="7" t="s">
        <v>237</v>
      </c>
      <c r="D24" s="7" t="s">
        <v>238</v>
      </c>
      <c r="E24" s="7" t="s">
        <v>239</v>
      </c>
      <c r="F24" s="8" t="s">
        <v>240</v>
      </c>
      <c r="G24" s="8" t="s">
        <v>241</v>
      </c>
      <c r="H24" s="8" t="s">
        <v>242</v>
      </c>
      <c r="I24" s="9" t="b">
        <f aca="false">TRUE()</f>
        <v>1</v>
      </c>
      <c r="J24" s="7" t="s">
        <v>243</v>
      </c>
      <c r="K24" s="9" t="b">
        <f aca="false">TRUE()</f>
        <v>1</v>
      </c>
      <c r="L24" s="7" t="s">
        <v>48</v>
      </c>
      <c r="M24" s="7" t="s">
        <v>43</v>
      </c>
      <c r="N24" s="7" t="s">
        <v>244</v>
      </c>
      <c r="O24" s="10" t="s">
        <v>245</v>
      </c>
      <c r="P24" s="7" t="s">
        <v>246</v>
      </c>
    </row>
    <row r="25" customFormat="false" ht="15" hidden="false" customHeight="false" outlineLevel="0" collapsed="false">
      <c r="A25" s="7" t="n">
        <v>24</v>
      </c>
      <c r="B25" s="7" t="s">
        <v>247</v>
      </c>
      <c r="C25" s="7" t="s">
        <v>248</v>
      </c>
      <c r="D25" s="7" t="s">
        <v>238</v>
      </c>
      <c r="E25" s="7" t="s">
        <v>249</v>
      </c>
      <c r="F25" s="8" t="s">
        <v>250</v>
      </c>
      <c r="G25" s="8" t="s">
        <v>251</v>
      </c>
      <c r="H25" s="8" t="s">
        <v>252</v>
      </c>
      <c r="I25" s="9" t="b">
        <f aca="false">TRUE()</f>
        <v>1</v>
      </c>
      <c r="J25" s="7" t="s">
        <v>253</v>
      </c>
      <c r="K25" s="9" t="b">
        <f aca="false">TRUE()</f>
        <v>1</v>
      </c>
      <c r="L25" s="7" t="s">
        <v>48</v>
      </c>
      <c r="M25" s="7" t="s">
        <v>43</v>
      </c>
      <c r="N25" s="7" t="s">
        <v>244</v>
      </c>
      <c r="O25" s="10" t="s">
        <v>254</v>
      </c>
      <c r="P25" s="7" t="s">
        <v>255</v>
      </c>
    </row>
    <row r="26" customFormat="false" ht="23.85" hidden="false" customHeight="false" outlineLevel="0" collapsed="false">
      <c r="A26" s="7" t="n">
        <v>25</v>
      </c>
      <c r="B26" s="7" t="s">
        <v>256</v>
      </c>
      <c r="C26" s="7" t="s">
        <v>257</v>
      </c>
      <c r="D26" s="7" t="s">
        <v>238</v>
      </c>
      <c r="E26" s="7" t="s">
        <v>249</v>
      </c>
      <c r="F26" s="8" t="s">
        <v>258</v>
      </c>
      <c r="G26" s="8" t="s">
        <v>136</v>
      </c>
      <c r="H26" s="8" t="s">
        <v>259</v>
      </c>
      <c r="I26" s="9" t="b">
        <f aca="false">FALSE()</f>
        <v>0</v>
      </c>
      <c r="J26" s="7" t="s">
        <v>253</v>
      </c>
      <c r="K26" s="9" t="b">
        <f aca="false">TRUE()</f>
        <v>1</v>
      </c>
      <c r="L26" s="7" t="s">
        <v>48</v>
      </c>
      <c r="M26" s="7" t="s">
        <v>43</v>
      </c>
      <c r="N26" s="7" t="s">
        <v>244</v>
      </c>
      <c r="O26" s="10" t="s">
        <v>260</v>
      </c>
      <c r="P26" s="7" t="s">
        <v>261</v>
      </c>
    </row>
    <row r="27" customFormat="false" ht="23.95" hidden="false" customHeight="false" outlineLevel="0" collapsed="false">
      <c r="A27" s="7" t="n">
        <v>26</v>
      </c>
      <c r="B27" s="7" t="s">
        <v>262</v>
      </c>
      <c r="C27" s="7" t="s">
        <v>263</v>
      </c>
      <c r="D27" s="7" t="s">
        <v>238</v>
      </c>
      <c r="E27" s="7" t="s">
        <v>249</v>
      </c>
      <c r="F27" s="8" t="s">
        <v>264</v>
      </c>
      <c r="G27" s="8" t="s">
        <v>265</v>
      </c>
      <c r="H27" s="8" t="s">
        <v>266</v>
      </c>
      <c r="I27" s="9" t="b">
        <f aca="false">FALSE()</f>
        <v>0</v>
      </c>
      <c r="J27" s="7" t="s">
        <v>267</v>
      </c>
      <c r="K27" s="9" t="b">
        <f aca="false">TRUE()</f>
        <v>1</v>
      </c>
      <c r="L27" s="7" t="s">
        <v>48</v>
      </c>
      <c r="M27" s="7" t="s">
        <v>43</v>
      </c>
      <c r="N27" s="7" t="s">
        <v>244</v>
      </c>
      <c r="O27" s="10" t="s">
        <v>268</v>
      </c>
      <c r="P27" s="7" t="s">
        <v>269</v>
      </c>
    </row>
    <row r="28" customFormat="false" ht="15" hidden="false" customHeight="false" outlineLevel="0" collapsed="false">
      <c r="A28" s="7" t="n">
        <v>27</v>
      </c>
      <c r="B28" s="7" t="s">
        <v>270</v>
      </c>
      <c r="C28" s="7" t="s">
        <v>271</v>
      </c>
      <c r="D28" s="7" t="s">
        <v>272</v>
      </c>
      <c r="E28" s="7" t="s">
        <v>273</v>
      </c>
      <c r="F28" s="8" t="s">
        <v>274</v>
      </c>
      <c r="G28" s="8" t="s">
        <v>275</v>
      </c>
      <c r="H28" s="8" t="s">
        <v>276</v>
      </c>
      <c r="I28" s="9" t="b">
        <f aca="false">TRUE()</f>
        <v>1</v>
      </c>
      <c r="J28" s="7" t="s">
        <v>277</v>
      </c>
      <c r="K28" s="9" t="b">
        <f aca="false">TRUE()</f>
        <v>1</v>
      </c>
      <c r="L28" s="7" t="s">
        <v>48</v>
      </c>
      <c r="M28" s="7" t="s">
        <v>43</v>
      </c>
      <c r="N28" s="7" t="s">
        <v>244</v>
      </c>
      <c r="O28" s="10" t="s">
        <v>278</v>
      </c>
      <c r="P28" s="7" t="s">
        <v>279</v>
      </c>
    </row>
    <row r="29" customFormat="false" ht="23.85" hidden="false" customHeight="false" outlineLevel="0" collapsed="false">
      <c r="A29" s="7" t="n">
        <v>28</v>
      </c>
      <c r="B29" s="7" t="s">
        <v>280</v>
      </c>
      <c r="C29" s="7" t="s">
        <v>281</v>
      </c>
      <c r="D29" s="7" t="s">
        <v>272</v>
      </c>
      <c r="E29" s="7" t="s">
        <v>282</v>
      </c>
      <c r="F29" s="8" t="s">
        <v>283</v>
      </c>
      <c r="G29" s="8" t="s">
        <v>284</v>
      </c>
      <c r="H29" s="8" t="s">
        <v>285</v>
      </c>
      <c r="I29" s="9" t="b">
        <f aca="false">FALSE()</f>
        <v>0</v>
      </c>
      <c r="J29" s="7" t="s">
        <v>286</v>
      </c>
      <c r="K29" s="9" t="b">
        <f aca="false">TRUE()</f>
        <v>1</v>
      </c>
      <c r="L29" s="7" t="s">
        <v>48</v>
      </c>
      <c r="M29" s="7" t="s">
        <v>43</v>
      </c>
      <c r="N29" s="7" t="s">
        <v>244</v>
      </c>
      <c r="O29" s="10" t="s">
        <v>287</v>
      </c>
      <c r="P29" s="7" t="s">
        <v>288</v>
      </c>
    </row>
    <row r="30" customFormat="false" ht="23.85" hidden="false" customHeight="false" outlineLevel="0" collapsed="false">
      <c r="A30" s="7" t="n">
        <v>29</v>
      </c>
      <c r="B30" s="7" t="s">
        <v>289</v>
      </c>
      <c r="C30" s="7" t="s">
        <v>290</v>
      </c>
      <c r="D30" s="7" t="s">
        <v>272</v>
      </c>
      <c r="E30" s="7" t="s">
        <v>291</v>
      </c>
      <c r="F30" s="8" t="s">
        <v>292</v>
      </c>
      <c r="G30" s="8" t="s">
        <v>293</v>
      </c>
      <c r="H30" s="8" t="s">
        <v>294</v>
      </c>
      <c r="I30" s="9" t="b">
        <f aca="false">TRUE()</f>
        <v>1</v>
      </c>
      <c r="J30" s="7" t="s">
        <v>295</v>
      </c>
      <c r="K30" s="9" t="b">
        <f aca="false">TRUE()</f>
        <v>1</v>
      </c>
      <c r="L30" s="7" t="s">
        <v>48</v>
      </c>
      <c r="M30" s="7" t="s">
        <v>43</v>
      </c>
      <c r="N30" s="7" t="s">
        <v>244</v>
      </c>
      <c r="O30" s="10" t="s">
        <v>296</v>
      </c>
      <c r="P30" s="7" t="s">
        <v>297</v>
      </c>
    </row>
    <row r="31" customFormat="false" ht="23.85" hidden="false" customHeight="false" outlineLevel="0" collapsed="false">
      <c r="A31" s="7" t="n">
        <v>30</v>
      </c>
      <c r="B31" s="7" t="s">
        <v>298</v>
      </c>
      <c r="C31" s="7" t="s">
        <v>299</v>
      </c>
      <c r="D31" s="7" t="s">
        <v>272</v>
      </c>
      <c r="E31" s="7" t="s">
        <v>300</v>
      </c>
      <c r="F31" s="8" t="s">
        <v>301</v>
      </c>
      <c r="G31" s="8" t="s">
        <v>302</v>
      </c>
      <c r="H31" s="8" t="s">
        <v>303</v>
      </c>
      <c r="I31" s="9" t="b">
        <f aca="false">FALSE()</f>
        <v>0</v>
      </c>
      <c r="J31" s="7" t="s">
        <v>304</v>
      </c>
      <c r="K31" s="9" t="b">
        <f aca="false">TRUE()</f>
        <v>1</v>
      </c>
      <c r="L31" s="7" t="s">
        <v>48</v>
      </c>
      <c r="M31" s="7" t="s">
        <v>43</v>
      </c>
      <c r="N31" s="7" t="s">
        <v>244</v>
      </c>
      <c r="O31" s="10" t="s">
        <v>305</v>
      </c>
      <c r="P31" s="7" t="s">
        <v>306</v>
      </c>
    </row>
    <row r="32" customFormat="false" ht="23.85" hidden="false" customHeight="false" outlineLevel="0" collapsed="false">
      <c r="A32" s="7" t="n">
        <v>31</v>
      </c>
      <c r="B32" s="7" t="s">
        <v>307</v>
      </c>
      <c r="C32" s="7" t="s">
        <v>308</v>
      </c>
      <c r="D32" s="7" t="s">
        <v>272</v>
      </c>
      <c r="E32" s="7" t="s">
        <v>300</v>
      </c>
      <c r="F32" s="8" t="s">
        <v>309</v>
      </c>
      <c r="G32" s="8" t="s">
        <v>310</v>
      </c>
      <c r="H32" s="8" t="s">
        <v>311</v>
      </c>
      <c r="I32" s="9" t="b">
        <f aca="false">FALSE()</f>
        <v>0</v>
      </c>
      <c r="J32" s="7" t="s">
        <v>312</v>
      </c>
      <c r="K32" s="9" t="b">
        <f aca="false">TRUE()</f>
        <v>1</v>
      </c>
      <c r="L32" s="7" t="s">
        <v>48</v>
      </c>
      <c r="M32" s="7" t="s">
        <v>43</v>
      </c>
      <c r="N32" s="7" t="s">
        <v>244</v>
      </c>
      <c r="O32" s="10" t="s">
        <v>313</v>
      </c>
      <c r="P32" s="7" t="s">
        <v>314</v>
      </c>
    </row>
    <row r="33" customFormat="false" ht="23.85" hidden="false" customHeight="false" outlineLevel="0" collapsed="false">
      <c r="A33" s="7" t="n">
        <v>32</v>
      </c>
      <c r="B33" s="7" t="s">
        <v>315</v>
      </c>
      <c r="C33" s="7" t="s">
        <v>316</v>
      </c>
      <c r="D33" s="7" t="s">
        <v>272</v>
      </c>
      <c r="E33" s="7" t="s">
        <v>317</v>
      </c>
      <c r="F33" s="8" t="s">
        <v>318</v>
      </c>
      <c r="G33" s="8" t="s">
        <v>284</v>
      </c>
      <c r="H33" s="8" t="s">
        <v>319</v>
      </c>
      <c r="I33" s="9" t="b">
        <f aca="false">FALSE()</f>
        <v>0</v>
      </c>
      <c r="J33" s="7" t="s">
        <v>320</v>
      </c>
      <c r="K33" s="9" t="b">
        <f aca="false">TRUE()</f>
        <v>1</v>
      </c>
      <c r="L33" s="7" t="s">
        <v>48</v>
      </c>
      <c r="M33" s="7" t="s">
        <v>43</v>
      </c>
      <c r="N33" s="7" t="s">
        <v>244</v>
      </c>
      <c r="O33" s="10" t="s">
        <v>321</v>
      </c>
      <c r="P33" s="7" t="s">
        <v>322</v>
      </c>
    </row>
    <row r="34" customFormat="false" ht="23.85" hidden="false" customHeight="false" outlineLevel="0" collapsed="false">
      <c r="A34" s="7" t="n">
        <v>33</v>
      </c>
      <c r="B34" s="7" t="s">
        <v>323</v>
      </c>
      <c r="C34" s="7" t="s">
        <v>324</v>
      </c>
      <c r="D34" s="7" t="s">
        <v>325</v>
      </c>
      <c r="E34" s="7" t="s">
        <v>326</v>
      </c>
      <c r="F34" s="8" t="s">
        <v>327</v>
      </c>
      <c r="G34" s="8" t="s">
        <v>328</v>
      </c>
      <c r="H34" s="8" t="s">
        <v>329</v>
      </c>
      <c r="I34" s="9" t="b">
        <f aca="false">TRUE()</f>
        <v>1</v>
      </c>
      <c r="J34" s="7" t="s">
        <v>330</v>
      </c>
      <c r="K34" s="9" t="b">
        <f aca="false">TRUE()</f>
        <v>1</v>
      </c>
      <c r="L34" s="7" t="s">
        <v>48</v>
      </c>
      <c r="M34" s="7" t="s">
        <v>43</v>
      </c>
      <c r="N34" s="7" t="s">
        <v>244</v>
      </c>
      <c r="O34" s="10" t="s">
        <v>331</v>
      </c>
      <c r="P34" s="7" t="s">
        <v>332</v>
      </c>
    </row>
    <row r="35" customFormat="false" ht="15" hidden="false" customHeight="false" outlineLevel="0" collapsed="false">
      <c r="A35" s="7" t="n">
        <v>34</v>
      </c>
      <c r="B35" s="7" t="s">
        <v>333</v>
      </c>
      <c r="C35" s="7" t="s">
        <v>334</v>
      </c>
      <c r="D35" s="7" t="s">
        <v>325</v>
      </c>
      <c r="E35" s="7" t="s">
        <v>326</v>
      </c>
      <c r="F35" s="8" t="s">
        <v>335</v>
      </c>
      <c r="G35" s="8" t="s">
        <v>336</v>
      </c>
      <c r="H35" s="8" t="s">
        <v>337</v>
      </c>
      <c r="I35" s="9" t="b">
        <f aca="false">FALSE()</f>
        <v>0</v>
      </c>
      <c r="J35" s="7" t="s">
        <v>330</v>
      </c>
      <c r="K35" s="9" t="b">
        <f aca="false">TRUE()</f>
        <v>1</v>
      </c>
      <c r="L35" s="7" t="s">
        <v>48</v>
      </c>
      <c r="M35" s="7" t="s">
        <v>43</v>
      </c>
      <c r="N35" s="7" t="s">
        <v>244</v>
      </c>
      <c r="O35" s="10" t="s">
        <v>338</v>
      </c>
      <c r="P35" s="7" t="s">
        <v>339</v>
      </c>
    </row>
    <row r="36" customFormat="false" ht="23.85" hidden="false" customHeight="false" outlineLevel="0" collapsed="false">
      <c r="A36" s="7" t="n">
        <v>35</v>
      </c>
      <c r="B36" s="7" t="s">
        <v>340</v>
      </c>
      <c r="C36" s="7" t="s">
        <v>341</v>
      </c>
      <c r="D36" s="7" t="s">
        <v>342</v>
      </c>
      <c r="E36" s="7" t="s">
        <v>343</v>
      </c>
      <c r="F36" s="8" t="s">
        <v>344</v>
      </c>
      <c r="G36" s="8" t="s">
        <v>345</v>
      </c>
      <c r="H36" s="8" t="s">
        <v>346</v>
      </c>
      <c r="I36" s="9" t="b">
        <f aca="false">TRUE()</f>
        <v>1</v>
      </c>
      <c r="J36" s="7" t="s">
        <v>87</v>
      </c>
      <c r="K36" s="9" t="b">
        <f aca="false">TRUE()</f>
        <v>1</v>
      </c>
      <c r="L36" s="7" t="s">
        <v>48</v>
      </c>
      <c r="M36" s="7" t="s">
        <v>43</v>
      </c>
      <c r="N36" s="7" t="s">
        <v>244</v>
      </c>
      <c r="O36" s="10" t="s">
        <v>347</v>
      </c>
      <c r="P36" s="7" t="s">
        <v>348</v>
      </c>
    </row>
    <row r="37" customFormat="false" ht="23.85" hidden="false" customHeight="false" outlineLevel="0" collapsed="false">
      <c r="A37" s="7" t="n">
        <v>36</v>
      </c>
      <c r="B37" s="7" t="s">
        <v>349</v>
      </c>
      <c r="C37" s="7" t="s">
        <v>350</v>
      </c>
      <c r="D37" s="7" t="s">
        <v>342</v>
      </c>
      <c r="E37" s="7" t="s">
        <v>343</v>
      </c>
      <c r="F37" s="8" t="s">
        <v>351</v>
      </c>
      <c r="G37" s="8" t="s">
        <v>349</v>
      </c>
      <c r="H37" s="8" t="s">
        <v>352</v>
      </c>
      <c r="I37" s="9" t="b">
        <f aca="false">FALSE()</f>
        <v>0</v>
      </c>
      <c r="J37" s="7" t="s">
        <v>353</v>
      </c>
      <c r="K37" s="9" t="b">
        <f aca="false">TRUE()</f>
        <v>1</v>
      </c>
      <c r="L37" s="7" t="s">
        <v>48</v>
      </c>
      <c r="M37" s="7" t="s">
        <v>43</v>
      </c>
      <c r="N37" s="7" t="s">
        <v>244</v>
      </c>
      <c r="O37" s="10" t="s">
        <v>354</v>
      </c>
      <c r="P37" s="7" t="s">
        <v>355</v>
      </c>
    </row>
    <row r="38" customFormat="false" ht="23.85" hidden="false" customHeight="false" outlineLevel="0" collapsed="false">
      <c r="A38" s="7" t="n">
        <v>37</v>
      </c>
      <c r="B38" s="7" t="s">
        <v>356</v>
      </c>
      <c r="C38" s="7" t="s">
        <v>357</v>
      </c>
      <c r="D38" s="7" t="s">
        <v>358</v>
      </c>
      <c r="E38" s="7" t="s">
        <v>43</v>
      </c>
      <c r="F38" s="8" t="s">
        <v>359</v>
      </c>
      <c r="G38" s="8" t="s">
        <v>360</v>
      </c>
      <c r="H38" s="8" t="s">
        <v>361</v>
      </c>
      <c r="I38" s="9" t="b">
        <f aca="false">TRUE()</f>
        <v>1</v>
      </c>
      <c r="J38" s="7" t="s">
        <v>362</v>
      </c>
      <c r="K38" s="9" t="b">
        <f aca="false">TRUE()</f>
        <v>1</v>
      </c>
      <c r="L38" s="7" t="s">
        <v>48</v>
      </c>
      <c r="M38" s="7" t="s">
        <v>43</v>
      </c>
      <c r="N38" s="7" t="s">
        <v>363</v>
      </c>
      <c r="O38" s="10" t="s">
        <v>364</v>
      </c>
      <c r="P38" s="7" t="s">
        <v>365</v>
      </c>
    </row>
    <row r="39" customFormat="false" ht="23.95" hidden="false" customHeight="false" outlineLevel="0" collapsed="false">
      <c r="A39" s="7" t="n">
        <v>38</v>
      </c>
      <c r="B39" s="7" t="s">
        <v>366</v>
      </c>
      <c r="C39" s="7" t="s">
        <v>367</v>
      </c>
      <c r="D39" s="7" t="s">
        <v>358</v>
      </c>
      <c r="E39" s="7" t="s">
        <v>43</v>
      </c>
      <c r="F39" s="8" t="s">
        <v>368</v>
      </c>
      <c r="G39" s="8" t="s">
        <v>369</v>
      </c>
      <c r="H39" s="8" t="s">
        <v>370</v>
      </c>
      <c r="I39" s="9" t="b">
        <f aca="false">TRUE()</f>
        <v>1</v>
      </c>
      <c r="J39" s="7" t="s">
        <v>371</v>
      </c>
      <c r="K39" s="9" t="b">
        <f aca="false">TRUE()</f>
        <v>1</v>
      </c>
      <c r="L39" s="7" t="s">
        <v>48</v>
      </c>
      <c r="M39" s="7" t="s">
        <v>43</v>
      </c>
      <c r="N39" s="7" t="s">
        <v>363</v>
      </c>
      <c r="O39" s="10" t="s">
        <v>372</v>
      </c>
      <c r="P39" s="7" t="s">
        <v>373</v>
      </c>
    </row>
    <row r="40" customFormat="false" ht="15" hidden="false" customHeight="false" outlineLevel="0" collapsed="false">
      <c r="A40" s="7" t="n">
        <v>39</v>
      </c>
      <c r="B40" s="7" t="s">
        <v>374</v>
      </c>
      <c r="C40" s="7" t="s">
        <v>375</v>
      </c>
      <c r="D40" s="7" t="s">
        <v>376</v>
      </c>
      <c r="E40" s="7" t="s">
        <v>43</v>
      </c>
      <c r="F40" s="8" t="s">
        <v>377</v>
      </c>
      <c r="G40" s="8" t="s">
        <v>68</v>
      </c>
      <c r="H40" s="8" t="s">
        <v>378</v>
      </c>
      <c r="I40" s="9" t="b">
        <f aca="false">TRUE()</f>
        <v>1</v>
      </c>
      <c r="J40" s="7" t="s">
        <v>379</v>
      </c>
      <c r="K40" s="9" t="b">
        <f aca="false">TRUE()</f>
        <v>1</v>
      </c>
      <c r="L40" s="7" t="s">
        <v>48</v>
      </c>
      <c r="M40" s="7" t="s">
        <v>43</v>
      </c>
      <c r="N40" s="7" t="s">
        <v>244</v>
      </c>
      <c r="O40" s="10" t="s">
        <v>380</v>
      </c>
      <c r="P40" s="7" t="s">
        <v>381</v>
      </c>
    </row>
    <row r="41" customFormat="false" ht="23.85" hidden="false" customHeight="false" outlineLevel="0" collapsed="false">
      <c r="A41" s="7" t="n">
        <v>40</v>
      </c>
      <c r="B41" s="7" t="s">
        <v>382</v>
      </c>
      <c r="C41" s="7" t="s">
        <v>383</v>
      </c>
      <c r="D41" s="7" t="s">
        <v>384</v>
      </c>
      <c r="E41" s="7" t="s">
        <v>385</v>
      </c>
      <c r="F41" s="8" t="s">
        <v>386</v>
      </c>
      <c r="G41" s="8" t="s">
        <v>241</v>
      </c>
      <c r="H41" s="8" t="s">
        <v>387</v>
      </c>
      <c r="I41" s="9" t="b">
        <f aca="false">TRUE()</f>
        <v>1</v>
      </c>
      <c r="J41" s="7" t="s">
        <v>87</v>
      </c>
      <c r="K41" s="9" t="b">
        <f aca="false">TRUE()</f>
        <v>1</v>
      </c>
      <c r="L41" s="7" t="s">
        <v>48</v>
      </c>
      <c r="M41" s="7" t="s">
        <v>43</v>
      </c>
      <c r="N41" s="7" t="s">
        <v>363</v>
      </c>
      <c r="O41" s="10" t="s">
        <v>388</v>
      </c>
      <c r="P41" s="7" t="s">
        <v>389</v>
      </c>
    </row>
    <row r="42" customFormat="false" ht="15" hidden="false" customHeight="false" outlineLevel="0" collapsed="false">
      <c r="A42" s="7" t="n">
        <v>41</v>
      </c>
      <c r="B42" s="7" t="s">
        <v>390</v>
      </c>
      <c r="C42" s="7" t="s">
        <v>391</v>
      </c>
      <c r="D42" s="7" t="s">
        <v>384</v>
      </c>
      <c r="E42" s="7" t="s">
        <v>392</v>
      </c>
      <c r="F42" s="8" t="s">
        <v>393</v>
      </c>
      <c r="G42" s="8" t="s">
        <v>394</v>
      </c>
      <c r="H42" s="8" t="s">
        <v>395</v>
      </c>
      <c r="I42" s="9" t="b">
        <f aca="false">FALSE()</f>
        <v>0</v>
      </c>
      <c r="J42" s="7" t="s">
        <v>87</v>
      </c>
      <c r="K42" s="9" t="b">
        <f aca="false">TRUE()</f>
        <v>1</v>
      </c>
      <c r="L42" s="7" t="s">
        <v>48</v>
      </c>
      <c r="M42" s="7" t="s">
        <v>43</v>
      </c>
      <c r="N42" s="7" t="s">
        <v>363</v>
      </c>
      <c r="O42" s="10" t="s">
        <v>396</v>
      </c>
      <c r="P42" s="7" t="s">
        <v>397</v>
      </c>
    </row>
    <row r="43" customFormat="false" ht="23.95" hidden="false" customHeight="false" outlineLevel="0" collapsed="false">
      <c r="A43" s="7" t="n">
        <v>42</v>
      </c>
      <c r="B43" s="7" t="s">
        <v>398</v>
      </c>
      <c r="C43" s="7" t="s">
        <v>399</v>
      </c>
      <c r="D43" s="7" t="s">
        <v>384</v>
      </c>
      <c r="E43" s="7" t="s">
        <v>385</v>
      </c>
      <c r="F43" s="8" t="s">
        <v>400</v>
      </c>
      <c r="G43" s="8" t="s">
        <v>401</v>
      </c>
      <c r="H43" s="8" t="s">
        <v>402</v>
      </c>
      <c r="I43" s="9" t="b">
        <f aca="false">FALSE()</f>
        <v>0</v>
      </c>
      <c r="J43" s="7" t="s">
        <v>403</v>
      </c>
      <c r="K43" s="9" t="b">
        <f aca="false">TRUE()</f>
        <v>1</v>
      </c>
      <c r="L43" s="7" t="s">
        <v>48</v>
      </c>
      <c r="M43" s="7" t="s">
        <v>43</v>
      </c>
      <c r="N43" s="7" t="s">
        <v>363</v>
      </c>
      <c r="O43" s="10" t="s">
        <v>404</v>
      </c>
      <c r="P43" s="7" t="s">
        <v>405</v>
      </c>
    </row>
    <row r="44" customFormat="false" ht="15" hidden="false" customHeight="false" outlineLevel="0" collapsed="false">
      <c r="A44" s="7" t="n">
        <v>43</v>
      </c>
      <c r="B44" s="7" t="s">
        <v>406</v>
      </c>
      <c r="C44" s="7" t="s">
        <v>407</v>
      </c>
      <c r="D44" s="7" t="s">
        <v>408</v>
      </c>
      <c r="E44" s="7" t="s">
        <v>43</v>
      </c>
      <c r="F44" s="8" t="s">
        <v>409</v>
      </c>
      <c r="G44" s="8" t="s">
        <v>58</v>
      </c>
      <c r="H44" s="8" t="s">
        <v>410</v>
      </c>
      <c r="I44" s="9" t="b">
        <f aca="false">TRUE()</f>
        <v>1</v>
      </c>
      <c r="J44" s="7" t="s">
        <v>411</v>
      </c>
      <c r="K44" s="9" t="b">
        <f aca="false">TRUE()</f>
        <v>1</v>
      </c>
      <c r="L44" s="7" t="s">
        <v>48</v>
      </c>
      <c r="M44" s="7" t="s">
        <v>43</v>
      </c>
      <c r="N44" s="7" t="s">
        <v>363</v>
      </c>
      <c r="O44" s="10" t="s">
        <v>412</v>
      </c>
      <c r="P44" s="7" t="s">
        <v>413</v>
      </c>
    </row>
    <row r="45" customFormat="false" ht="23.85" hidden="false" customHeight="false" outlineLevel="0" collapsed="false">
      <c r="A45" s="7" t="n">
        <v>44</v>
      </c>
      <c r="B45" s="7" t="s">
        <v>414</v>
      </c>
      <c r="C45" s="7" t="s">
        <v>415</v>
      </c>
      <c r="D45" s="7" t="s">
        <v>416</v>
      </c>
      <c r="E45" s="7" t="s">
        <v>417</v>
      </c>
      <c r="F45" s="8" t="s">
        <v>418</v>
      </c>
      <c r="G45" s="8" t="s">
        <v>419</v>
      </c>
      <c r="H45" s="8" t="s">
        <v>420</v>
      </c>
      <c r="I45" s="9" t="b">
        <f aca="false">TRUE()</f>
        <v>1</v>
      </c>
      <c r="J45" s="7" t="s">
        <v>421</v>
      </c>
      <c r="K45" s="9" t="b">
        <f aca="false">TRUE()</f>
        <v>1</v>
      </c>
      <c r="L45" s="7" t="s">
        <v>48</v>
      </c>
      <c r="M45" s="7" t="s">
        <v>43</v>
      </c>
      <c r="N45" s="7" t="s">
        <v>363</v>
      </c>
      <c r="O45" s="10" t="s">
        <v>422</v>
      </c>
      <c r="P45" s="7" t="s">
        <v>423</v>
      </c>
    </row>
    <row r="46" customFormat="false" ht="15" hidden="false" customHeight="false" outlineLevel="0" collapsed="false">
      <c r="A46" s="7" t="n">
        <v>45</v>
      </c>
      <c r="B46" s="7" t="s">
        <v>424</v>
      </c>
      <c r="C46" s="7" t="s">
        <v>425</v>
      </c>
      <c r="D46" s="7" t="s">
        <v>426</v>
      </c>
      <c r="E46" s="7" t="s">
        <v>427</v>
      </c>
      <c r="F46" s="8" t="s">
        <v>428</v>
      </c>
      <c r="G46" s="8" t="s">
        <v>429</v>
      </c>
      <c r="H46" s="8" t="s">
        <v>430</v>
      </c>
      <c r="I46" s="9" t="b">
        <f aca="false">TRUE()</f>
        <v>1</v>
      </c>
      <c r="J46" s="7" t="s">
        <v>87</v>
      </c>
      <c r="K46" s="9" t="b">
        <f aca="false">TRUE()</f>
        <v>1</v>
      </c>
      <c r="L46" s="7" t="s">
        <v>48</v>
      </c>
      <c r="M46" s="7" t="s">
        <v>43</v>
      </c>
      <c r="N46" s="7" t="s">
        <v>244</v>
      </c>
      <c r="O46" s="10" t="s">
        <v>431</v>
      </c>
      <c r="P46" s="7" t="s">
        <v>432</v>
      </c>
    </row>
    <row r="47" customFormat="false" ht="23.85" hidden="false" customHeight="false" outlineLevel="0" collapsed="false">
      <c r="A47" s="7" t="n">
        <v>46</v>
      </c>
      <c r="B47" s="7" t="s">
        <v>433</v>
      </c>
      <c r="C47" s="7" t="s">
        <v>434</v>
      </c>
      <c r="D47" s="7" t="s">
        <v>435</v>
      </c>
      <c r="E47" s="7" t="s">
        <v>43</v>
      </c>
      <c r="F47" s="8" t="s">
        <v>436</v>
      </c>
      <c r="G47" s="8" t="s">
        <v>437</v>
      </c>
      <c r="H47" s="8" t="s">
        <v>438</v>
      </c>
      <c r="I47" s="9" t="b">
        <f aca="false">TRUE()</f>
        <v>1</v>
      </c>
      <c r="J47" s="7" t="s">
        <v>439</v>
      </c>
      <c r="K47" s="9" t="b">
        <f aca="false">TRUE()</f>
        <v>1</v>
      </c>
      <c r="L47" s="7" t="s">
        <v>48</v>
      </c>
      <c r="M47" s="7" t="s">
        <v>43</v>
      </c>
      <c r="N47" s="7" t="s">
        <v>363</v>
      </c>
      <c r="O47" s="10" t="s">
        <v>440</v>
      </c>
      <c r="P47" s="7" t="s">
        <v>441</v>
      </c>
    </row>
    <row r="48" customFormat="false" ht="23.85" hidden="false" customHeight="false" outlineLevel="0" collapsed="false">
      <c r="A48" s="7" t="n">
        <v>47</v>
      </c>
      <c r="B48" s="7" t="s">
        <v>442</v>
      </c>
      <c r="C48" s="7" t="s">
        <v>443</v>
      </c>
      <c r="D48" s="7" t="s">
        <v>444</v>
      </c>
      <c r="E48" s="7" t="s">
        <v>445</v>
      </c>
      <c r="F48" s="8" t="s">
        <v>446</v>
      </c>
      <c r="G48" s="8" t="s">
        <v>447</v>
      </c>
      <c r="H48" s="8" t="s">
        <v>448</v>
      </c>
      <c r="I48" s="9" t="b">
        <f aca="false">TRUE()</f>
        <v>1</v>
      </c>
      <c r="J48" s="7" t="s">
        <v>87</v>
      </c>
      <c r="K48" s="9" t="b">
        <f aca="false">TRUE()</f>
        <v>1</v>
      </c>
      <c r="L48" s="7" t="s">
        <v>48</v>
      </c>
      <c r="M48" s="7" t="s">
        <v>43</v>
      </c>
      <c r="N48" s="7" t="s">
        <v>244</v>
      </c>
      <c r="O48" s="10" t="s">
        <v>449</v>
      </c>
      <c r="P48" s="7" t="s">
        <v>450</v>
      </c>
    </row>
    <row r="49" customFormat="false" ht="23.85" hidden="false" customHeight="false" outlineLevel="0" collapsed="false">
      <c r="A49" s="7" t="n">
        <v>48</v>
      </c>
      <c r="B49" s="7" t="s">
        <v>451</v>
      </c>
      <c r="C49" s="7" t="s">
        <v>452</v>
      </c>
      <c r="D49" s="7" t="s">
        <v>444</v>
      </c>
      <c r="E49" s="7" t="s">
        <v>453</v>
      </c>
      <c r="F49" s="8" t="s">
        <v>454</v>
      </c>
      <c r="G49" s="8" t="s">
        <v>136</v>
      </c>
      <c r="H49" s="8" t="s">
        <v>455</v>
      </c>
      <c r="I49" s="9" t="b">
        <f aca="false">TRUE()</f>
        <v>1</v>
      </c>
      <c r="J49" s="7" t="s">
        <v>87</v>
      </c>
      <c r="K49" s="9" t="b">
        <f aca="false">TRUE()</f>
        <v>1</v>
      </c>
      <c r="L49" s="7" t="s">
        <v>48</v>
      </c>
      <c r="M49" s="7" t="s">
        <v>43</v>
      </c>
      <c r="N49" s="7" t="s">
        <v>244</v>
      </c>
      <c r="O49" s="10" t="s">
        <v>456</v>
      </c>
      <c r="P49" s="7" t="s">
        <v>457</v>
      </c>
    </row>
  </sheetData>
  <hyperlinks>
    <hyperlink ref="O2" r:id="rId1" display="https://www.1mg.com/drugs/glyciphage-sr-500mg-tablet-149311"/>
    <hyperlink ref="O3" r:id="rId2" display="https://www.1mg.com/drugs/amaryl-1mg-tablet-12155"/>
    <hyperlink ref="O4" r:id="rId3" display="https://www.1mg.com/drugs/glizid-mr-30-tablet-11796"/>
    <hyperlink ref="O5" r:id="rId4" display="https://www.1mg.com/drugs/daonil-tablet-333076"/>
    <hyperlink ref="O6" r:id="rId5" display="https://www.1mg.com/drugs/dynaglipt-tablet-323687"/>
    <hyperlink ref="O7" r:id="rId6" display="https://www.1mg.com/drugs/sitasys-100mg-tablet-857560"/>
    <hyperlink ref="O8" r:id="rId7" display="https://www.1mg.com/drugs/glyday-50-tablet-575621"/>
    <hyperlink ref="O9" r:id="rId8" display="https://www.1mg.com/drugs/l-glip-5mg-tablet-1003435"/>
    <hyperlink ref="O10" r:id="rId9" display="https://www.1mg.com/drugs/zaxaglit-2.5mg-tablet-668606"/>
    <hyperlink ref="O11" r:id="rId10" display="https://www.1mg.com/drugs/gibtulio-10mg-tablet-336789"/>
    <hyperlink ref="O12" r:id="rId11" display="https://www.1mg.com/drugs/oxra-5mg-tablet-333999"/>
    <hyperlink ref="O13" r:id="rId12" display="https://www.netmeds.com/product/canagliflowin-100-tablet-10s-mb6p76-10893979"/>
    <hyperlink ref="O14" r:id="rId13" display="https://www.1mg.com/drugs/pionorm-15-tablet-27703"/>
    <hyperlink ref="O15" r:id="rId14" display="https://www.1mg.com/drugs/basalog-refill-solution-for-injection-164232"/>
    <hyperlink ref="O16" r:id="rId15" display="https://www.1mg.com/drugs/huminsulin-30-70-suspension-for-injection-100iu-ml-115297"/>
    <hyperlink ref="O17" r:id="rId16" display="https://www.1mg.com/drugs/huminsulin-r-40iu-ml-solution-for-injection-14549"/>
    <hyperlink ref="O18" r:id="rId17" display="https://www.1mg.com/drugs/gliptoza-pre-filled-pen-1084868"/>
    <hyperlink ref="O19" r:id="rId18" display="https://www.1mg.com/drugs/trulicity-0.75mg-pre-filled-pen-332260"/>
    <hyperlink ref="O20" r:id="rId19" display="https://www.1mg.com/drugs/glucobay-25-tablet-40362"/>
    <hyperlink ref="O21" r:id="rId20" display="https://www.1mg.com/drugs/azulix-0.5-mf-tablet-pr-497053"/>
    <hyperlink ref="O22" r:id="rId21" display="https://www.1mg.com/drugs/dynaglipt-m-tablet-sr-337936"/>
    <hyperlink ref="O23" r:id="rId22" display="https://www.1mg.com/drugs/ozovil-m-tablet-641750"/>
    <hyperlink ref="O24" r:id="rId23" display="https://www.1mg.com/drugs/ecosprin-75-tablet-40765"/>
    <hyperlink ref="O25" r:id="rId24" display="https://www.1mg.com/drugs/plavix-tablet-134976"/>
    <hyperlink ref="O26" r:id="rId25" display="https://www.1mg.com/drugs/axcer-60mg-tablet-416014"/>
    <hyperlink ref="O27" r:id="rId26" display="https://www.1mg.com/drugs/oresugrel-5mg-tablet-593762"/>
    <hyperlink ref="O28" r:id="rId27" display="https://www.1mg.com/drugs/celhep-25000iu-injection-720100"/>
    <hyperlink ref="O29" r:id="rId28" display="https://www.1mg.com/drugs/exhep-20-injection-301822"/>
    <hyperlink ref="O30" r:id="rId29" display="https://www.1mg.com/drugs/warf-1-tablet-553037"/>
    <hyperlink ref="O31" r:id="rId30" display="https://www.1mg.com/drugs/ordiban-tablet-647571"/>
    <hyperlink ref="O32" r:id="rId31" display="https://www.1mg.com/drugs/eliquis-2.5mg-tablet-138240"/>
    <hyperlink ref="O33" r:id="rId32" display="https://www.1mg.com/drugs/dabitra-110-capsule-408926"/>
    <hyperlink ref="O34" r:id="rId33" display="https://www.1mg.com/drugs/thromboflux-1500000iu-injection-288098"/>
    <hyperlink ref="O35" r:id="rId34" display="https://www.1mg.com/drugs/tenecterel-30mg-injection-kit-665741"/>
    <hyperlink ref="O36" r:id="rId35" display="https://www.1mg.com/drugs/xtor-10-tablet-114371"/>
    <hyperlink ref="O37" r:id="rId36" display="https://www.1mg.com/drugs/consivas-5-tablet-31061"/>
    <hyperlink ref="O38" r:id="rId37" display="https://www.1mg.com/drugs/ziram-2.5-tablet-30210"/>
    <hyperlink ref="O39" r:id="rId38" display="https://www.1mg.com/drugs/el-2.5mg-tablet-266697"/>
    <hyperlink ref="O40" r:id="rId39" display="https://www.1mg.com/drugs/telmikind-20-tablet-73132"/>
    <hyperlink ref="O41" r:id="rId40" display="https://www.1mg.com/drugs/metzok-12.5-tablet-pr-18452"/>
    <hyperlink ref="O42" r:id="rId41" display="https://www.1mg.com/drugs/carvil-3.125-tablet-239740"/>
    <hyperlink ref="O43" r:id="rId42" display="https://www.1mg.com/drugs/biselect-2.5-tablet-48503"/>
    <hyperlink ref="O44" r:id="rId43" display="https://www.1mg.com/drugs/lasix-tablet-69762"/>
    <hyperlink ref="O45" r:id="rId44" display="https://www.1mg.com/drugs/aldactone-tablet-116839"/>
    <hyperlink ref="O46" r:id="rId45" display="https://www.1mg.com/drugs/tachyra-100-tablet-43493"/>
    <hyperlink ref="O47" r:id="rId46" display="https://www.1mg.com/drugs/lanoxin-tablet-39496"/>
    <hyperlink ref="O48" r:id="rId47" display="https://www.indiamart.com/proddetail/nitrglycerine-controlled-release-26199997273.html"/>
    <hyperlink ref="O49" r:id="rId48" display="https://www.1mg.com/drugs/monotrate-10-tablet-11900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38"/>
    <col collapsed="false" customWidth="true" hidden="false" outlineLevel="0" max="8" min="8" style="0" width="32"/>
    <col collapsed="false" customWidth="true" hidden="false" outlineLevel="0" max="9" min="9" style="0" width="38"/>
  </cols>
  <sheetData>
    <row r="1" customFormat="false" ht="31.5" hidden="false" customHeight="true" outlineLevel="0" collapsed="false">
      <c r="A1" s="6" t="s">
        <v>24</v>
      </c>
      <c r="B1" s="6" t="s">
        <v>458</v>
      </c>
      <c r="C1" s="6" t="s">
        <v>459</v>
      </c>
      <c r="D1" s="6" t="s">
        <v>460</v>
      </c>
      <c r="E1" s="6" t="s">
        <v>461</v>
      </c>
      <c r="F1" s="6" t="s">
        <v>462</v>
      </c>
      <c r="G1" s="6" t="s">
        <v>463</v>
      </c>
      <c r="H1" s="6" t="s">
        <v>464</v>
      </c>
      <c r="I1" s="6" t="s">
        <v>465</v>
      </c>
    </row>
    <row r="2" customFormat="false" ht="23.85" hidden="false" customHeight="false" outlineLevel="0" collapsed="false">
      <c r="A2" s="7" t="n">
        <v>1</v>
      </c>
      <c r="B2" s="7" t="n">
        <v>2</v>
      </c>
      <c r="C2" s="7" t="s">
        <v>53</v>
      </c>
      <c r="D2" s="7"/>
      <c r="E2" s="7" t="s">
        <v>466</v>
      </c>
      <c r="F2" s="7" t="s">
        <v>467</v>
      </c>
      <c r="G2" s="7" t="s">
        <v>468</v>
      </c>
      <c r="H2" s="7" t="s">
        <v>469</v>
      </c>
      <c r="I2" s="7" t="s">
        <v>470</v>
      </c>
    </row>
    <row r="3" customFormat="false" ht="15" hidden="false" customHeight="false" outlineLevel="0" collapsed="false">
      <c r="A3" s="7" t="n">
        <v>2</v>
      </c>
      <c r="B3" s="7" t="n">
        <v>2</v>
      </c>
      <c r="C3" s="7" t="s">
        <v>53</v>
      </c>
      <c r="D3" s="7" t="n">
        <v>4</v>
      </c>
      <c r="E3" s="7" t="s">
        <v>74</v>
      </c>
      <c r="F3" s="7" t="s">
        <v>467</v>
      </c>
      <c r="G3" s="7" t="s">
        <v>471</v>
      </c>
      <c r="H3" s="7" t="s">
        <v>472</v>
      </c>
      <c r="I3" s="7" t="s">
        <v>473</v>
      </c>
    </row>
    <row r="4" customFormat="false" ht="23.85" hidden="false" customHeight="false" outlineLevel="0" collapsed="false">
      <c r="A4" s="7" t="n">
        <v>3</v>
      </c>
      <c r="B4" s="7" t="n">
        <v>1</v>
      </c>
      <c r="C4" s="7" t="s">
        <v>40</v>
      </c>
      <c r="D4" s="7"/>
      <c r="E4" s="7" t="s">
        <v>474</v>
      </c>
      <c r="F4" s="7" t="s">
        <v>467</v>
      </c>
      <c r="G4" s="7" t="s">
        <v>475</v>
      </c>
      <c r="H4" s="7" t="s">
        <v>476</v>
      </c>
      <c r="I4" s="7" t="s">
        <v>477</v>
      </c>
    </row>
    <row r="5" customFormat="false" ht="15" hidden="false" customHeight="false" outlineLevel="0" collapsed="false">
      <c r="A5" s="7" t="n">
        <v>4</v>
      </c>
      <c r="B5" s="7" t="n">
        <v>13</v>
      </c>
      <c r="C5" s="7" t="s">
        <v>150</v>
      </c>
      <c r="D5" s="7" t="n">
        <v>14</v>
      </c>
      <c r="E5" s="7" t="s">
        <v>158</v>
      </c>
      <c r="F5" s="7" t="s">
        <v>71</v>
      </c>
      <c r="G5" s="7" t="s">
        <v>478</v>
      </c>
      <c r="H5" s="7" t="s">
        <v>479</v>
      </c>
      <c r="I5" s="7" t="s">
        <v>480</v>
      </c>
    </row>
    <row r="6" customFormat="false" ht="23.85" hidden="false" customHeight="false" outlineLevel="0" collapsed="false">
      <c r="A6" s="7" t="n">
        <v>5</v>
      </c>
      <c r="B6" s="7" t="n">
        <v>5</v>
      </c>
      <c r="C6" s="7" t="s">
        <v>82</v>
      </c>
      <c r="D6" s="7" t="n">
        <v>2</v>
      </c>
      <c r="E6" s="7" t="s">
        <v>53</v>
      </c>
      <c r="F6" s="7" t="s">
        <v>71</v>
      </c>
      <c r="G6" s="7" t="s">
        <v>481</v>
      </c>
      <c r="H6" s="7" t="s">
        <v>482</v>
      </c>
      <c r="I6" s="7" t="s">
        <v>483</v>
      </c>
    </row>
    <row r="7" customFormat="false" ht="23.85" hidden="false" customHeight="false" outlineLevel="0" collapsed="false">
      <c r="A7" s="7" t="n">
        <v>6</v>
      </c>
      <c r="B7" s="7" t="n">
        <v>23</v>
      </c>
      <c r="C7" s="7" t="s">
        <v>236</v>
      </c>
      <c r="D7" s="7" t="n">
        <v>25</v>
      </c>
      <c r="E7" s="7" t="s">
        <v>256</v>
      </c>
      <c r="F7" s="7" t="s">
        <v>71</v>
      </c>
      <c r="G7" s="7" t="s">
        <v>484</v>
      </c>
      <c r="H7" s="7" t="s">
        <v>485</v>
      </c>
      <c r="I7" s="7" t="s">
        <v>486</v>
      </c>
    </row>
    <row r="8" customFormat="false" ht="23.85" hidden="false" customHeight="false" outlineLevel="0" collapsed="false">
      <c r="A8" s="7" t="n">
        <v>7</v>
      </c>
      <c r="B8" s="7" t="n">
        <v>23</v>
      </c>
      <c r="C8" s="7" t="s">
        <v>236</v>
      </c>
      <c r="D8" s="7" t="n">
        <v>30</v>
      </c>
      <c r="E8" s="7" t="s">
        <v>298</v>
      </c>
      <c r="F8" s="7" t="s">
        <v>467</v>
      </c>
      <c r="G8" s="7" t="s">
        <v>487</v>
      </c>
      <c r="H8" s="7" t="s">
        <v>488</v>
      </c>
      <c r="I8" s="7" t="s">
        <v>489</v>
      </c>
    </row>
    <row r="9" customFormat="false" ht="23.85" hidden="false" customHeight="false" outlineLevel="0" collapsed="false">
      <c r="A9" s="7" t="n">
        <v>8</v>
      </c>
      <c r="B9" s="7" t="n">
        <v>44</v>
      </c>
      <c r="C9" s="7" t="s">
        <v>414</v>
      </c>
      <c r="D9" s="7" t="n">
        <v>37</v>
      </c>
      <c r="E9" s="7" t="s">
        <v>356</v>
      </c>
      <c r="F9" s="7" t="s">
        <v>467</v>
      </c>
      <c r="G9" s="7" t="s">
        <v>490</v>
      </c>
      <c r="H9" s="7" t="s">
        <v>491</v>
      </c>
      <c r="I9" s="7" t="s">
        <v>492</v>
      </c>
    </row>
    <row r="10" customFormat="false" ht="15" hidden="false" customHeight="false" outlineLevel="0" collapsed="false">
      <c r="A10" s="7" t="n">
        <v>9</v>
      </c>
      <c r="B10" s="7" t="n">
        <v>44</v>
      </c>
      <c r="C10" s="7" t="s">
        <v>414</v>
      </c>
      <c r="D10" s="7" t="n">
        <v>39</v>
      </c>
      <c r="E10" s="7" t="s">
        <v>374</v>
      </c>
      <c r="F10" s="7" t="s">
        <v>467</v>
      </c>
      <c r="G10" s="7" t="s">
        <v>493</v>
      </c>
      <c r="H10" s="7" t="s">
        <v>494</v>
      </c>
      <c r="I10" s="7" t="s">
        <v>495</v>
      </c>
    </row>
    <row r="11" customFormat="false" ht="23.85" hidden="false" customHeight="false" outlineLevel="0" collapsed="false">
      <c r="A11" s="7" t="n">
        <v>10</v>
      </c>
      <c r="B11" s="7" t="n">
        <v>45</v>
      </c>
      <c r="C11" s="7" t="s">
        <v>424</v>
      </c>
      <c r="D11" s="7" t="n">
        <v>29</v>
      </c>
      <c r="E11" s="7" t="s">
        <v>289</v>
      </c>
      <c r="F11" s="7" t="s">
        <v>467</v>
      </c>
      <c r="G11" s="7" t="s">
        <v>496</v>
      </c>
      <c r="H11" s="7" t="s">
        <v>497</v>
      </c>
      <c r="I11" s="7" t="s">
        <v>498</v>
      </c>
    </row>
    <row r="12" customFormat="false" ht="23.85" hidden="false" customHeight="false" outlineLevel="0" collapsed="false">
      <c r="A12" s="7" t="n">
        <v>11</v>
      </c>
      <c r="B12" s="7" t="n">
        <v>45</v>
      </c>
      <c r="C12" s="7" t="s">
        <v>424</v>
      </c>
      <c r="D12" s="7" t="n">
        <v>46</v>
      </c>
      <c r="E12" s="7" t="s">
        <v>433</v>
      </c>
      <c r="F12" s="7" t="s">
        <v>467</v>
      </c>
      <c r="G12" s="7" t="s">
        <v>499</v>
      </c>
      <c r="H12" s="7" t="s">
        <v>500</v>
      </c>
      <c r="I12" s="7" t="s">
        <v>501</v>
      </c>
    </row>
    <row r="13" customFormat="false" ht="15" hidden="false" customHeight="false" outlineLevel="0" collapsed="false">
      <c r="A13" s="7" t="n">
        <v>12</v>
      </c>
      <c r="B13" s="7" t="n">
        <v>40</v>
      </c>
      <c r="C13" s="7" t="s">
        <v>382</v>
      </c>
      <c r="D13" s="7" t="n">
        <v>46</v>
      </c>
      <c r="E13" s="7" t="s">
        <v>433</v>
      </c>
      <c r="F13" s="7" t="s">
        <v>71</v>
      </c>
      <c r="G13" s="7" t="s">
        <v>502</v>
      </c>
      <c r="H13" s="7" t="s">
        <v>503</v>
      </c>
      <c r="I13" s="7" t="s">
        <v>504</v>
      </c>
    </row>
    <row r="14" customFormat="false" ht="23.85" hidden="false" customHeight="false" outlineLevel="0" collapsed="false">
      <c r="A14" s="7" t="n">
        <v>13</v>
      </c>
      <c r="B14" s="7" t="n">
        <v>43</v>
      </c>
      <c r="C14" s="7" t="s">
        <v>406</v>
      </c>
      <c r="D14" s="7" t="n">
        <v>46</v>
      </c>
      <c r="E14" s="7" t="s">
        <v>433</v>
      </c>
      <c r="F14" s="7" t="s">
        <v>71</v>
      </c>
      <c r="G14" s="7" t="s">
        <v>505</v>
      </c>
      <c r="H14" s="7" t="s">
        <v>506</v>
      </c>
      <c r="I14" s="7" t="s">
        <v>507</v>
      </c>
    </row>
    <row r="15" customFormat="false" ht="23.85" hidden="false" customHeight="false" outlineLevel="0" collapsed="false">
      <c r="A15" s="7" t="n">
        <v>14</v>
      </c>
      <c r="B15" s="7" t="n">
        <v>35</v>
      </c>
      <c r="C15" s="7" t="s">
        <v>340</v>
      </c>
      <c r="D15" s="7" t="n">
        <v>45</v>
      </c>
      <c r="E15" s="7" t="s">
        <v>424</v>
      </c>
      <c r="F15" s="7" t="s">
        <v>71</v>
      </c>
      <c r="G15" s="7" t="s">
        <v>508</v>
      </c>
      <c r="H15" s="7" t="s">
        <v>509</v>
      </c>
      <c r="I15" s="7" t="s">
        <v>510</v>
      </c>
    </row>
    <row r="16" customFormat="false" ht="23.85" hidden="false" customHeight="false" outlineLevel="0" collapsed="false">
      <c r="A16" s="7" t="n">
        <v>15</v>
      </c>
      <c r="B16" s="7" t="n">
        <v>29</v>
      </c>
      <c r="C16" s="7" t="s">
        <v>289</v>
      </c>
      <c r="D16" s="7" t="n">
        <v>23</v>
      </c>
      <c r="E16" s="7" t="s">
        <v>236</v>
      </c>
      <c r="F16" s="7" t="s">
        <v>467</v>
      </c>
      <c r="G16" s="7" t="s">
        <v>511</v>
      </c>
      <c r="H16" s="7" t="s">
        <v>512</v>
      </c>
      <c r="I16" s="7" t="s">
        <v>513</v>
      </c>
    </row>
    <row r="17" customFormat="false" ht="23.85" hidden="false" customHeight="false" outlineLevel="0" collapsed="false">
      <c r="A17" s="7" t="n">
        <v>16</v>
      </c>
      <c r="B17" s="7" t="n">
        <v>2</v>
      </c>
      <c r="C17" s="7" t="s">
        <v>53</v>
      </c>
      <c r="D17" s="7" t="n">
        <v>40</v>
      </c>
      <c r="E17" s="7" t="s">
        <v>382</v>
      </c>
      <c r="F17" s="7" t="s">
        <v>71</v>
      </c>
      <c r="G17" s="7" t="s">
        <v>514</v>
      </c>
      <c r="H17" s="7" t="s">
        <v>515</v>
      </c>
      <c r="I17" s="7" t="s">
        <v>516</v>
      </c>
    </row>
    <row r="18" customFormat="false" ht="15" hidden="false" customHeight="false" outlineLevel="0" collapsed="false">
      <c r="A18" s="7" t="n">
        <v>17</v>
      </c>
      <c r="B18" s="7" t="n">
        <v>2</v>
      </c>
      <c r="C18" s="7" t="s">
        <v>53</v>
      </c>
      <c r="D18" s="7" t="n">
        <v>41</v>
      </c>
      <c r="E18" s="7" t="s">
        <v>390</v>
      </c>
      <c r="F18" s="7" t="s">
        <v>71</v>
      </c>
      <c r="G18" s="7" t="s">
        <v>517</v>
      </c>
      <c r="H18" s="7" t="s">
        <v>515</v>
      </c>
      <c r="I18" s="7" t="s">
        <v>518</v>
      </c>
    </row>
    <row r="19" customFormat="false" ht="23.85" hidden="false" customHeight="false" outlineLevel="0" collapsed="false">
      <c r="A19" s="7" t="n">
        <v>18</v>
      </c>
      <c r="B19" s="7" t="n">
        <v>10</v>
      </c>
      <c r="C19" s="7" t="s">
        <v>122</v>
      </c>
      <c r="D19" s="7" t="n">
        <v>43</v>
      </c>
      <c r="E19" s="7" t="s">
        <v>406</v>
      </c>
      <c r="F19" s="7" t="s">
        <v>71</v>
      </c>
      <c r="G19" s="7" t="s">
        <v>519</v>
      </c>
      <c r="H19" s="7" t="s">
        <v>520</v>
      </c>
      <c r="I19" s="7" t="s">
        <v>521</v>
      </c>
    </row>
    <row r="20" customFormat="false" ht="23.85" hidden="false" customHeight="false" outlineLevel="0" collapsed="false">
      <c r="A20" s="7" t="n">
        <v>19</v>
      </c>
      <c r="B20" s="7" t="n">
        <v>11</v>
      </c>
      <c r="C20" s="7" t="s">
        <v>133</v>
      </c>
      <c r="D20" s="7" t="n">
        <v>44</v>
      </c>
      <c r="E20" s="7" t="s">
        <v>414</v>
      </c>
      <c r="F20" s="7" t="s">
        <v>71</v>
      </c>
      <c r="G20" s="7" t="s">
        <v>522</v>
      </c>
      <c r="H20" s="7" t="s">
        <v>523</v>
      </c>
      <c r="I20" s="7" t="s">
        <v>524</v>
      </c>
    </row>
    <row r="21" customFormat="false" ht="23.85" hidden="false" customHeight="false" outlineLevel="0" collapsed="false">
      <c r="A21" s="7" t="n">
        <v>20</v>
      </c>
      <c r="B21" s="7" t="n">
        <v>1</v>
      </c>
      <c r="C21" s="7" t="s">
        <v>40</v>
      </c>
      <c r="D21" s="7" t="n">
        <v>37</v>
      </c>
      <c r="E21" s="7" t="s">
        <v>356</v>
      </c>
      <c r="F21" s="7" t="s">
        <v>525</v>
      </c>
      <c r="G21" s="7" t="s">
        <v>526</v>
      </c>
      <c r="H21" s="7" t="s">
        <v>527</v>
      </c>
      <c r="I21" s="7" t="s">
        <v>528</v>
      </c>
    </row>
    <row r="22" customFormat="false" ht="15" hidden="false" customHeight="false" outlineLevel="0" collapsed="false">
      <c r="A22" s="7" t="n">
        <v>21</v>
      </c>
      <c r="B22" s="7" t="n">
        <v>13</v>
      </c>
      <c r="C22" s="7" t="s">
        <v>150</v>
      </c>
      <c r="D22" s="7" t="n">
        <v>37</v>
      </c>
      <c r="E22" s="7" t="s">
        <v>356</v>
      </c>
      <c r="F22" s="7" t="s">
        <v>71</v>
      </c>
      <c r="G22" s="7" t="s">
        <v>478</v>
      </c>
      <c r="H22" s="7" t="s">
        <v>529</v>
      </c>
      <c r="I22" s="7" t="s">
        <v>530</v>
      </c>
    </row>
    <row r="23" customFormat="false" ht="23.85" hidden="false" customHeight="false" outlineLevel="0" collapsed="false">
      <c r="A23" s="7" t="n">
        <v>22</v>
      </c>
      <c r="B23" s="7" t="n">
        <v>14</v>
      </c>
      <c r="C23" s="7" t="s">
        <v>158</v>
      </c>
      <c r="D23" s="7" t="n">
        <v>41</v>
      </c>
      <c r="E23" s="7" t="s">
        <v>390</v>
      </c>
      <c r="F23" s="7" t="s">
        <v>71</v>
      </c>
      <c r="G23" s="7" t="s">
        <v>531</v>
      </c>
      <c r="H23" s="7" t="s">
        <v>532</v>
      </c>
      <c r="I23" s="7" t="s">
        <v>533</v>
      </c>
    </row>
    <row r="24" customFormat="false" ht="15" hidden="false" customHeight="false" outlineLevel="0" collapsed="false">
      <c r="A24" s="7" t="n">
        <v>23</v>
      </c>
      <c r="B24" s="7" t="n">
        <v>35</v>
      </c>
      <c r="C24" s="7" t="s">
        <v>340</v>
      </c>
      <c r="D24" s="7" t="n">
        <v>5</v>
      </c>
      <c r="E24" s="7" t="s">
        <v>82</v>
      </c>
      <c r="F24" s="7" t="s">
        <v>525</v>
      </c>
      <c r="G24" s="7" t="s">
        <v>534</v>
      </c>
      <c r="H24" s="7" t="s">
        <v>535</v>
      </c>
      <c r="I24" s="7" t="s">
        <v>536</v>
      </c>
    </row>
    <row r="25" customFormat="false" ht="23.85" hidden="false" customHeight="false" outlineLevel="0" collapsed="false">
      <c r="A25" s="7" t="n">
        <v>24</v>
      </c>
      <c r="B25" s="7" t="n">
        <v>1</v>
      </c>
      <c r="C25" s="7" t="s">
        <v>40</v>
      </c>
      <c r="D25" s="7"/>
      <c r="E25" s="7" t="s">
        <v>466</v>
      </c>
      <c r="F25" s="7" t="s">
        <v>71</v>
      </c>
      <c r="G25" s="7" t="s">
        <v>537</v>
      </c>
      <c r="H25" s="7" t="s">
        <v>538</v>
      </c>
      <c r="I25" s="7" t="s">
        <v>539</v>
      </c>
    </row>
    <row r="26" customFormat="false" ht="23.85" hidden="false" customHeight="false" outlineLevel="0" collapsed="false">
      <c r="A26" s="7" t="n">
        <v>25</v>
      </c>
      <c r="B26" s="7" t="n">
        <v>23</v>
      </c>
      <c r="C26" s="7" t="s">
        <v>236</v>
      </c>
      <c r="D26" s="7"/>
      <c r="E26" s="7" t="s">
        <v>540</v>
      </c>
      <c r="F26" s="7" t="s">
        <v>71</v>
      </c>
      <c r="G26" s="7" t="s">
        <v>541</v>
      </c>
      <c r="H26" s="7" t="s">
        <v>542</v>
      </c>
      <c r="I26" s="7" t="s">
        <v>543</v>
      </c>
    </row>
    <row r="27" customFormat="false" ht="23.85" hidden="false" customHeight="false" outlineLevel="0" collapsed="false">
      <c r="A27" s="7" t="n">
        <v>26</v>
      </c>
      <c r="B27" s="7" t="n">
        <v>35</v>
      </c>
      <c r="C27" s="7" t="s">
        <v>340</v>
      </c>
      <c r="D27" s="7"/>
      <c r="E27" s="7" t="s">
        <v>544</v>
      </c>
      <c r="F27" s="7" t="s">
        <v>467</v>
      </c>
      <c r="G27" s="7" t="s">
        <v>545</v>
      </c>
      <c r="H27" s="7" t="s">
        <v>509</v>
      </c>
      <c r="I27" s="7" t="s">
        <v>546</v>
      </c>
    </row>
    <row r="28" customFormat="false" ht="23.85" hidden="false" customHeight="false" outlineLevel="0" collapsed="false">
      <c r="A28" s="7" t="n">
        <v>27</v>
      </c>
      <c r="B28" s="7" t="n">
        <v>29</v>
      </c>
      <c r="C28" s="7" t="s">
        <v>289</v>
      </c>
      <c r="D28" s="7"/>
      <c r="E28" s="7" t="s">
        <v>547</v>
      </c>
      <c r="F28" s="7" t="s">
        <v>467</v>
      </c>
      <c r="G28" s="7" t="s">
        <v>548</v>
      </c>
      <c r="H28" s="7" t="s">
        <v>497</v>
      </c>
      <c r="I28" s="7" t="s">
        <v>549</v>
      </c>
    </row>
    <row r="29" customFormat="false" ht="23.85" hidden="false" customHeight="false" outlineLevel="0" collapsed="false">
      <c r="A29" s="7" t="n">
        <v>28</v>
      </c>
      <c r="B29" s="7" t="n">
        <v>1</v>
      </c>
      <c r="C29" s="7" t="s">
        <v>40</v>
      </c>
      <c r="D29" s="7"/>
      <c r="E29" s="7" t="s">
        <v>550</v>
      </c>
      <c r="F29" s="7" t="s">
        <v>71</v>
      </c>
      <c r="G29" s="7" t="s">
        <v>551</v>
      </c>
      <c r="H29" s="7" t="s">
        <v>552</v>
      </c>
      <c r="I29" s="7" t="s">
        <v>553</v>
      </c>
    </row>
    <row r="30" customFormat="false" ht="23.85" hidden="false" customHeight="false" outlineLevel="0" collapsed="false">
      <c r="A30" s="7" t="n">
        <v>29</v>
      </c>
      <c r="B30" s="7" t="n">
        <v>5</v>
      </c>
      <c r="C30" s="7" t="s">
        <v>82</v>
      </c>
      <c r="D30" s="7"/>
      <c r="E30" s="7" t="s">
        <v>554</v>
      </c>
      <c r="F30" s="7" t="s">
        <v>71</v>
      </c>
      <c r="G30" s="7" t="s">
        <v>555</v>
      </c>
      <c r="H30" s="7" t="s">
        <v>556</v>
      </c>
      <c r="I30" s="7" t="s">
        <v>557</v>
      </c>
    </row>
    <row r="31" customFormat="false" ht="15" hidden="false" customHeight="false" outlineLevel="0" collapsed="false">
      <c r="A31" s="7" t="n">
        <v>30</v>
      </c>
      <c r="B31" s="7" t="n">
        <v>23</v>
      </c>
      <c r="C31" s="7" t="s">
        <v>236</v>
      </c>
      <c r="D31" s="7"/>
      <c r="E31" s="7" t="s">
        <v>466</v>
      </c>
      <c r="F31" s="7" t="s">
        <v>71</v>
      </c>
      <c r="G31" s="7" t="s">
        <v>558</v>
      </c>
      <c r="H31" s="7" t="s">
        <v>559</v>
      </c>
      <c r="I31" s="7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70"/>
    <col collapsed="false" customWidth="true" hidden="false" outlineLevel="0" max="7" min="7" style="0" width="10"/>
    <col collapsed="false" customWidth="true" hidden="false" outlineLevel="0" max="8" min="8" style="0" width="36"/>
  </cols>
  <sheetData>
    <row r="1" customFormat="false" ht="31.5" hidden="false" customHeight="true" outlineLevel="0" collapsed="false">
      <c r="A1" s="6" t="s">
        <v>24</v>
      </c>
      <c r="B1" s="6" t="s">
        <v>561</v>
      </c>
      <c r="C1" s="6" t="s">
        <v>562</v>
      </c>
      <c r="D1" s="6" t="s">
        <v>563</v>
      </c>
      <c r="E1" s="6" t="s">
        <v>564</v>
      </c>
      <c r="F1" s="6" t="s">
        <v>565</v>
      </c>
      <c r="G1" s="6" t="s">
        <v>566</v>
      </c>
      <c r="H1" s="6" t="s">
        <v>37</v>
      </c>
    </row>
    <row r="2" customFormat="false" ht="23.85" hidden="false" customHeight="false" outlineLevel="0" collapsed="false">
      <c r="A2" s="7" t="n">
        <v>1</v>
      </c>
      <c r="B2" s="7" t="s">
        <v>567</v>
      </c>
      <c r="C2" s="7" t="n">
        <v>2022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50</v>
      </c>
    </row>
    <row r="3" customFormat="false" ht="23.85" hidden="false" customHeight="false" outlineLevel="0" collapsed="false">
      <c r="A3" s="7" t="n">
        <v>2</v>
      </c>
      <c r="B3" s="7" t="s">
        <v>567</v>
      </c>
      <c r="C3" s="7" t="n">
        <v>2022</v>
      </c>
      <c r="D3" s="7" t="s">
        <v>568</v>
      </c>
      <c r="E3" s="7" t="s">
        <v>572</v>
      </c>
      <c r="F3" s="7" t="s">
        <v>573</v>
      </c>
      <c r="G3" s="7" t="s">
        <v>571</v>
      </c>
      <c r="H3" s="7" t="s">
        <v>50</v>
      </c>
    </row>
    <row r="4" customFormat="false" ht="23.85" hidden="false" customHeight="false" outlineLevel="0" collapsed="false">
      <c r="A4" s="7" t="n">
        <v>3</v>
      </c>
      <c r="B4" s="7" t="s">
        <v>567</v>
      </c>
      <c r="C4" s="7" t="n">
        <v>2022</v>
      </c>
      <c r="D4" s="7" t="s">
        <v>568</v>
      </c>
      <c r="E4" s="7" t="s">
        <v>574</v>
      </c>
      <c r="F4" s="7" t="s">
        <v>575</v>
      </c>
      <c r="G4" s="7" t="s">
        <v>571</v>
      </c>
      <c r="H4" s="7" t="s">
        <v>50</v>
      </c>
    </row>
    <row r="5" customFormat="false" ht="23.85" hidden="false" customHeight="false" outlineLevel="0" collapsed="false">
      <c r="A5" s="7" t="n">
        <v>4</v>
      </c>
      <c r="B5" s="7" t="s">
        <v>567</v>
      </c>
      <c r="C5" s="7" t="n">
        <v>2022</v>
      </c>
      <c r="D5" s="7" t="s">
        <v>568</v>
      </c>
      <c r="E5" s="7" t="s">
        <v>576</v>
      </c>
      <c r="F5" s="7" t="s">
        <v>577</v>
      </c>
      <c r="G5" s="7" t="s">
        <v>571</v>
      </c>
      <c r="H5" s="7" t="s">
        <v>578</v>
      </c>
    </row>
    <row r="6" customFormat="false" ht="23.85" hidden="false" customHeight="false" outlineLevel="0" collapsed="false">
      <c r="A6" s="7" t="n">
        <v>5</v>
      </c>
      <c r="B6" s="7" t="s">
        <v>567</v>
      </c>
      <c r="C6" s="7" t="n">
        <v>2022</v>
      </c>
      <c r="D6" s="7" t="s">
        <v>568</v>
      </c>
      <c r="E6" s="7" t="s">
        <v>579</v>
      </c>
      <c r="F6" s="7" t="s">
        <v>580</v>
      </c>
      <c r="G6" s="7" t="s">
        <v>571</v>
      </c>
      <c r="H6" s="7" t="s">
        <v>581</v>
      </c>
    </row>
    <row r="7" customFormat="false" ht="23.85" hidden="false" customHeight="false" outlineLevel="0" collapsed="false">
      <c r="A7" s="7" t="n">
        <v>6</v>
      </c>
      <c r="B7" s="7" t="s">
        <v>567</v>
      </c>
      <c r="C7" s="7" t="n">
        <v>2022</v>
      </c>
      <c r="D7" s="7" t="s">
        <v>568</v>
      </c>
      <c r="E7" s="7" t="s">
        <v>582</v>
      </c>
      <c r="F7" s="7" t="s">
        <v>583</v>
      </c>
      <c r="G7" s="7" t="s">
        <v>571</v>
      </c>
      <c r="H7" s="7" t="s">
        <v>50</v>
      </c>
    </row>
    <row r="8" customFormat="false" ht="23.85" hidden="false" customHeight="false" outlineLevel="0" collapsed="false">
      <c r="A8" s="7" t="n">
        <v>7</v>
      </c>
      <c r="B8" s="7" t="s">
        <v>567</v>
      </c>
      <c r="C8" s="7" t="n">
        <v>2022</v>
      </c>
      <c r="D8" s="7" t="s">
        <v>568</v>
      </c>
      <c r="E8" s="7" t="s">
        <v>584</v>
      </c>
      <c r="F8" s="7" t="s">
        <v>585</v>
      </c>
      <c r="G8" s="7" t="s">
        <v>571</v>
      </c>
      <c r="H8" s="7" t="s">
        <v>50</v>
      </c>
    </row>
    <row r="9" customFormat="false" ht="23.85" hidden="false" customHeight="false" outlineLevel="0" collapsed="false">
      <c r="A9" s="7" t="n">
        <v>8</v>
      </c>
      <c r="B9" s="7" t="s">
        <v>567</v>
      </c>
      <c r="C9" s="7" t="n">
        <v>2022</v>
      </c>
      <c r="D9" s="7" t="s">
        <v>568</v>
      </c>
      <c r="E9" s="7" t="s">
        <v>586</v>
      </c>
      <c r="F9" s="7" t="s">
        <v>587</v>
      </c>
      <c r="G9" s="7" t="s">
        <v>571</v>
      </c>
      <c r="H9" s="7" t="s">
        <v>50</v>
      </c>
    </row>
    <row r="10" customFormat="false" ht="23.85" hidden="false" customHeight="false" outlineLevel="0" collapsed="false">
      <c r="A10" s="7" t="n">
        <v>9</v>
      </c>
      <c r="B10" s="7" t="s">
        <v>567</v>
      </c>
      <c r="C10" s="7" t="n">
        <v>2022</v>
      </c>
      <c r="D10" s="7" t="s">
        <v>568</v>
      </c>
      <c r="E10" s="7" t="s">
        <v>588</v>
      </c>
      <c r="F10" s="7" t="s">
        <v>589</v>
      </c>
      <c r="G10" s="7" t="s">
        <v>571</v>
      </c>
      <c r="H10" s="7" t="s">
        <v>50</v>
      </c>
    </row>
    <row r="11" customFormat="false" ht="23.85" hidden="false" customHeight="false" outlineLevel="0" collapsed="false">
      <c r="A11" s="7" t="n">
        <v>10</v>
      </c>
      <c r="B11" s="7" t="s">
        <v>567</v>
      </c>
      <c r="C11" s="7" t="n">
        <v>2022</v>
      </c>
      <c r="D11" s="7" t="s">
        <v>568</v>
      </c>
      <c r="E11" s="7" t="s">
        <v>590</v>
      </c>
      <c r="F11" s="7" t="s">
        <v>591</v>
      </c>
      <c r="G11" s="7" t="s">
        <v>571</v>
      </c>
      <c r="H11" s="7" t="s">
        <v>50</v>
      </c>
    </row>
    <row r="12" customFormat="false" ht="23.85" hidden="false" customHeight="false" outlineLevel="0" collapsed="false">
      <c r="A12" s="7" t="n">
        <v>11</v>
      </c>
      <c r="B12" s="7" t="s">
        <v>567</v>
      </c>
      <c r="C12" s="7" t="n">
        <v>2022</v>
      </c>
      <c r="D12" s="7" t="s">
        <v>568</v>
      </c>
      <c r="E12" s="7" t="s">
        <v>592</v>
      </c>
      <c r="F12" s="7" t="s">
        <v>593</v>
      </c>
      <c r="G12" s="7" t="s">
        <v>594</v>
      </c>
      <c r="H12" s="7" t="s">
        <v>50</v>
      </c>
    </row>
    <row r="13" customFormat="false" ht="35.05" hidden="false" customHeight="false" outlineLevel="0" collapsed="false">
      <c r="A13" s="7" t="n">
        <v>12</v>
      </c>
      <c r="B13" s="7" t="s">
        <v>595</v>
      </c>
      <c r="C13" s="7" t="n">
        <v>2017</v>
      </c>
      <c r="D13" s="7" t="s">
        <v>596</v>
      </c>
      <c r="E13" s="7" t="s">
        <v>597</v>
      </c>
      <c r="F13" s="7" t="s">
        <v>598</v>
      </c>
      <c r="G13" s="7" t="s">
        <v>571</v>
      </c>
      <c r="H13" s="7" t="s">
        <v>244</v>
      </c>
    </row>
    <row r="14" customFormat="false" ht="23.85" hidden="false" customHeight="false" outlineLevel="0" collapsed="false">
      <c r="A14" s="7" t="n">
        <v>13</v>
      </c>
      <c r="B14" s="7" t="s">
        <v>595</v>
      </c>
      <c r="C14" s="7" t="n">
        <v>2017</v>
      </c>
      <c r="D14" s="7" t="s">
        <v>596</v>
      </c>
      <c r="E14" s="7" t="s">
        <v>599</v>
      </c>
      <c r="F14" s="7" t="s">
        <v>600</v>
      </c>
      <c r="G14" s="7" t="s">
        <v>571</v>
      </c>
      <c r="H14" s="7" t="s">
        <v>244</v>
      </c>
    </row>
    <row r="15" customFormat="false" ht="35.05" hidden="false" customHeight="false" outlineLevel="0" collapsed="false">
      <c r="A15" s="7" t="n">
        <v>14</v>
      </c>
      <c r="B15" s="7" t="s">
        <v>595</v>
      </c>
      <c r="C15" s="7" t="n">
        <v>2017</v>
      </c>
      <c r="D15" s="7" t="s">
        <v>596</v>
      </c>
      <c r="E15" s="7" t="s">
        <v>601</v>
      </c>
      <c r="F15" s="7" t="s">
        <v>602</v>
      </c>
      <c r="G15" s="7" t="s">
        <v>571</v>
      </c>
      <c r="H15" s="7" t="s">
        <v>244</v>
      </c>
    </row>
    <row r="16" customFormat="false" ht="23.85" hidden="false" customHeight="false" outlineLevel="0" collapsed="false">
      <c r="A16" s="7" t="n">
        <v>15</v>
      </c>
      <c r="B16" s="7" t="s">
        <v>595</v>
      </c>
      <c r="C16" s="7" t="n">
        <v>2017</v>
      </c>
      <c r="D16" s="7" t="s">
        <v>596</v>
      </c>
      <c r="E16" s="7" t="s">
        <v>603</v>
      </c>
      <c r="F16" s="7" t="s">
        <v>604</v>
      </c>
      <c r="G16" s="7" t="s">
        <v>571</v>
      </c>
      <c r="H16" s="7" t="s">
        <v>244</v>
      </c>
    </row>
    <row r="17" customFormat="false" ht="23.85" hidden="false" customHeight="false" outlineLevel="0" collapsed="false">
      <c r="A17" s="7" t="n">
        <v>16</v>
      </c>
      <c r="B17" s="7" t="s">
        <v>595</v>
      </c>
      <c r="C17" s="7" t="n">
        <v>2017</v>
      </c>
      <c r="D17" s="7" t="s">
        <v>596</v>
      </c>
      <c r="E17" s="7" t="s">
        <v>605</v>
      </c>
      <c r="F17" s="7" t="s">
        <v>606</v>
      </c>
      <c r="G17" s="7" t="s">
        <v>571</v>
      </c>
      <c r="H17" s="7" t="s">
        <v>244</v>
      </c>
    </row>
    <row r="18" customFormat="false" ht="35.05" hidden="false" customHeight="false" outlineLevel="0" collapsed="false">
      <c r="A18" s="7" t="n">
        <v>17</v>
      </c>
      <c r="B18" s="7" t="s">
        <v>595</v>
      </c>
      <c r="C18" s="7" t="n">
        <v>2017</v>
      </c>
      <c r="D18" s="7" t="s">
        <v>596</v>
      </c>
      <c r="E18" s="7" t="s">
        <v>607</v>
      </c>
      <c r="F18" s="7" t="s">
        <v>608</v>
      </c>
      <c r="G18" s="7" t="s">
        <v>571</v>
      </c>
      <c r="H18" s="7" t="s">
        <v>244</v>
      </c>
    </row>
    <row r="19" customFormat="false" ht="23.85" hidden="false" customHeight="false" outlineLevel="0" collapsed="false">
      <c r="A19" s="7" t="n">
        <v>18</v>
      </c>
      <c r="B19" s="7" t="s">
        <v>595</v>
      </c>
      <c r="C19" s="7" t="n">
        <v>2020</v>
      </c>
      <c r="D19" s="7" t="s">
        <v>596</v>
      </c>
      <c r="E19" s="7" t="s">
        <v>609</v>
      </c>
      <c r="F19" s="7" t="s">
        <v>610</v>
      </c>
      <c r="G19" s="7" t="s">
        <v>571</v>
      </c>
      <c r="H19" s="7" t="s">
        <v>244</v>
      </c>
    </row>
    <row r="20" customFormat="false" ht="23.85" hidden="false" customHeight="false" outlineLevel="0" collapsed="false">
      <c r="A20" s="7" t="n">
        <v>19</v>
      </c>
      <c r="B20" s="7" t="s">
        <v>595</v>
      </c>
      <c r="C20" s="7" t="n">
        <v>2017</v>
      </c>
      <c r="D20" s="7" t="s">
        <v>596</v>
      </c>
      <c r="E20" s="7" t="s">
        <v>611</v>
      </c>
      <c r="F20" s="7" t="s">
        <v>612</v>
      </c>
      <c r="G20" s="7" t="s">
        <v>594</v>
      </c>
      <c r="H20" s="7" t="s">
        <v>244</v>
      </c>
    </row>
    <row r="21" customFormat="false" ht="23.85" hidden="false" customHeight="false" outlineLevel="0" collapsed="false">
      <c r="A21" s="7" t="n">
        <v>20</v>
      </c>
      <c r="B21" s="7" t="s">
        <v>613</v>
      </c>
      <c r="C21" s="7" t="n">
        <v>2018</v>
      </c>
      <c r="D21" s="7" t="s">
        <v>596</v>
      </c>
      <c r="E21" s="7" t="s">
        <v>614</v>
      </c>
      <c r="F21" s="7" t="s">
        <v>615</v>
      </c>
      <c r="G21" s="7" t="s">
        <v>571</v>
      </c>
      <c r="H21" s="7" t="s">
        <v>616</v>
      </c>
    </row>
    <row r="22" customFormat="false" ht="35.05" hidden="false" customHeight="false" outlineLevel="0" collapsed="false">
      <c r="A22" s="7" t="n">
        <v>21</v>
      </c>
      <c r="B22" s="7" t="s">
        <v>613</v>
      </c>
      <c r="C22" s="7" t="n">
        <v>2018</v>
      </c>
      <c r="D22" s="7" t="s">
        <v>596</v>
      </c>
      <c r="E22" s="7" t="s">
        <v>617</v>
      </c>
      <c r="F22" s="7" t="s">
        <v>618</v>
      </c>
      <c r="G22" s="7" t="s">
        <v>571</v>
      </c>
      <c r="H22" s="7" t="s">
        <v>616</v>
      </c>
    </row>
    <row r="23" customFormat="false" ht="35.05" hidden="false" customHeight="false" outlineLevel="0" collapsed="false">
      <c r="A23" s="7" t="n">
        <v>22</v>
      </c>
      <c r="B23" s="7" t="s">
        <v>613</v>
      </c>
      <c r="C23" s="7" t="n">
        <v>2018</v>
      </c>
      <c r="D23" s="7" t="s">
        <v>596</v>
      </c>
      <c r="E23" s="7" t="s">
        <v>619</v>
      </c>
      <c r="F23" s="7" t="s">
        <v>620</v>
      </c>
      <c r="G23" s="7" t="s">
        <v>571</v>
      </c>
      <c r="H23" s="7" t="s">
        <v>616</v>
      </c>
    </row>
    <row r="24" customFormat="false" ht="35.05" hidden="false" customHeight="false" outlineLevel="0" collapsed="false">
      <c r="A24" s="7" t="n">
        <v>23</v>
      </c>
      <c r="B24" s="7" t="s">
        <v>621</v>
      </c>
      <c r="C24" s="7" t="n">
        <v>2022</v>
      </c>
      <c r="D24" s="7" t="s">
        <v>622</v>
      </c>
      <c r="E24" s="7" t="s">
        <v>623</v>
      </c>
      <c r="F24" s="7" t="s">
        <v>624</v>
      </c>
      <c r="G24" s="7" t="s">
        <v>571</v>
      </c>
      <c r="H24" s="7" t="s">
        <v>130</v>
      </c>
    </row>
    <row r="25" customFormat="false" ht="35.05" hidden="false" customHeight="false" outlineLevel="0" collapsed="false">
      <c r="A25" s="7" t="n">
        <v>24</v>
      </c>
      <c r="B25" s="7" t="s">
        <v>621</v>
      </c>
      <c r="C25" s="7" t="n">
        <v>2022</v>
      </c>
      <c r="D25" s="7" t="s">
        <v>622</v>
      </c>
      <c r="E25" s="7" t="s">
        <v>625</v>
      </c>
      <c r="F25" s="7" t="s">
        <v>626</v>
      </c>
      <c r="G25" s="7" t="s">
        <v>571</v>
      </c>
      <c r="H25" s="7" t="s">
        <v>627</v>
      </c>
    </row>
    <row r="26" customFormat="false" ht="35.05" hidden="false" customHeight="false" outlineLevel="0" collapsed="false">
      <c r="A26" s="7" t="n">
        <v>25</v>
      </c>
      <c r="B26" s="7" t="s">
        <v>621</v>
      </c>
      <c r="C26" s="7" t="n">
        <v>2022</v>
      </c>
      <c r="D26" s="7" t="s">
        <v>622</v>
      </c>
      <c r="E26" s="7" t="s">
        <v>628</v>
      </c>
      <c r="F26" s="7" t="s">
        <v>629</v>
      </c>
      <c r="G26" s="7" t="s">
        <v>571</v>
      </c>
      <c r="H26" s="7" t="s">
        <v>630</v>
      </c>
    </row>
    <row r="27" customFormat="false" ht="35.05" hidden="false" customHeight="false" outlineLevel="0" collapsed="false">
      <c r="A27" s="7" t="n">
        <v>26</v>
      </c>
      <c r="B27" s="7" t="s">
        <v>567</v>
      </c>
      <c r="C27" s="7" t="n">
        <v>2022</v>
      </c>
      <c r="D27" s="7" t="s">
        <v>622</v>
      </c>
      <c r="E27" s="7" t="s">
        <v>631</v>
      </c>
      <c r="F27" s="7" t="s">
        <v>632</v>
      </c>
      <c r="G27" s="7" t="s">
        <v>571</v>
      </c>
      <c r="H27" s="7" t="s">
        <v>633</v>
      </c>
    </row>
    <row r="28" customFormat="false" ht="23.85" hidden="false" customHeight="false" outlineLevel="0" collapsed="false">
      <c r="A28" s="7" t="n">
        <v>27</v>
      </c>
      <c r="B28" s="7" t="s">
        <v>567</v>
      </c>
      <c r="C28" s="7" t="n">
        <v>2022</v>
      </c>
      <c r="D28" s="7" t="s">
        <v>622</v>
      </c>
      <c r="E28" s="7" t="s">
        <v>634</v>
      </c>
      <c r="F28" s="7" t="s">
        <v>635</v>
      </c>
      <c r="G28" s="7" t="s">
        <v>594</v>
      </c>
      <c r="H28" s="7" t="s">
        <v>636</v>
      </c>
    </row>
    <row r="29" customFormat="false" ht="35.05" hidden="false" customHeight="false" outlineLevel="0" collapsed="false">
      <c r="A29" s="7" t="n">
        <v>28</v>
      </c>
      <c r="B29" s="7" t="s">
        <v>637</v>
      </c>
      <c r="C29" s="7" t="n">
        <v>2022</v>
      </c>
      <c r="D29" s="7" t="s">
        <v>568</v>
      </c>
      <c r="E29" s="7" t="s">
        <v>638</v>
      </c>
      <c r="F29" s="7" t="s">
        <v>639</v>
      </c>
      <c r="G29" s="7" t="s">
        <v>571</v>
      </c>
      <c r="H29" s="7" t="s">
        <v>50</v>
      </c>
    </row>
    <row r="30" customFormat="false" ht="35.05" hidden="false" customHeight="false" outlineLevel="0" collapsed="false">
      <c r="A30" s="7" t="n">
        <v>29</v>
      </c>
      <c r="B30" s="7" t="s">
        <v>637</v>
      </c>
      <c r="C30" s="7" t="n">
        <v>2022</v>
      </c>
      <c r="D30" s="7" t="s">
        <v>596</v>
      </c>
      <c r="E30" s="7" t="s">
        <v>640</v>
      </c>
      <c r="F30" s="7" t="s">
        <v>641</v>
      </c>
      <c r="G30" s="7" t="s">
        <v>571</v>
      </c>
      <c r="H30" s="7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6" t="s">
        <v>642</v>
      </c>
      <c r="B1" s="6" t="s">
        <v>643</v>
      </c>
      <c r="C1" s="6" t="s">
        <v>644</v>
      </c>
      <c r="D1" s="6" t="s">
        <v>645</v>
      </c>
      <c r="E1" s="6" t="s">
        <v>646</v>
      </c>
    </row>
    <row r="2" customFormat="false" ht="15" hidden="false" customHeight="false" outlineLevel="0" collapsed="false">
      <c r="A2" s="7" t="n">
        <v>1</v>
      </c>
      <c r="B2" s="7" t="s">
        <v>40</v>
      </c>
      <c r="C2" s="9" t="b">
        <f aca="false">TRUE()</f>
        <v>1</v>
      </c>
      <c r="D2" s="7" t="s">
        <v>62</v>
      </c>
      <c r="E2" s="7" t="s">
        <v>647</v>
      </c>
    </row>
    <row r="3" customFormat="false" ht="15" hidden="false" customHeight="false" outlineLevel="0" collapsed="false">
      <c r="A3" s="7" t="n">
        <v>2</v>
      </c>
      <c r="B3" s="7" t="s">
        <v>53</v>
      </c>
      <c r="C3" s="9" t="b">
        <f aca="false">TRUE()</f>
        <v>1</v>
      </c>
      <c r="D3" s="7" t="s">
        <v>62</v>
      </c>
      <c r="E3" s="7" t="s">
        <v>648</v>
      </c>
    </row>
    <row r="4" customFormat="false" ht="15" hidden="false" customHeight="false" outlineLevel="0" collapsed="false">
      <c r="A4" s="7" t="n">
        <v>3</v>
      </c>
      <c r="B4" s="7" t="s">
        <v>65</v>
      </c>
      <c r="C4" s="9" t="b">
        <f aca="false">TRUE()</f>
        <v>1</v>
      </c>
      <c r="D4" s="7" t="s">
        <v>71</v>
      </c>
      <c r="E4" s="7" t="s">
        <v>649</v>
      </c>
    </row>
    <row r="5" customFormat="false" ht="15" hidden="false" customHeight="false" outlineLevel="0" collapsed="false">
      <c r="A5" s="7" t="n">
        <v>4</v>
      </c>
      <c r="B5" s="7" t="s">
        <v>74</v>
      </c>
      <c r="C5" s="9" t="b">
        <f aca="false">TRUE()</f>
        <v>1</v>
      </c>
      <c r="D5" s="7" t="s">
        <v>49</v>
      </c>
      <c r="E5" s="7" t="s">
        <v>650</v>
      </c>
    </row>
    <row r="6" customFormat="false" ht="15" hidden="false" customHeight="false" outlineLevel="0" collapsed="false">
      <c r="A6" s="7" t="n">
        <v>5</v>
      </c>
      <c r="B6" s="7" t="s">
        <v>82</v>
      </c>
      <c r="C6" s="9" t="b">
        <f aca="false">TRUE()</f>
        <v>1</v>
      </c>
      <c r="D6" s="7" t="s">
        <v>62</v>
      </c>
      <c r="E6" s="7" t="s">
        <v>651</v>
      </c>
    </row>
    <row r="7" customFormat="false" ht="15" hidden="false" customHeight="false" outlineLevel="0" collapsed="false">
      <c r="A7" s="7" t="n">
        <v>6</v>
      </c>
      <c r="B7" s="7" t="s">
        <v>90</v>
      </c>
      <c r="C7" s="9" t="b">
        <f aca="false">TRUE()</f>
        <v>1</v>
      </c>
      <c r="D7" s="7" t="s">
        <v>71</v>
      </c>
      <c r="E7" s="7" t="s">
        <v>652</v>
      </c>
    </row>
    <row r="8" customFormat="false" ht="15" hidden="false" customHeight="false" outlineLevel="0" collapsed="false">
      <c r="A8" s="7" t="n">
        <v>7</v>
      </c>
      <c r="B8" s="7" t="s">
        <v>98</v>
      </c>
      <c r="C8" s="9" t="b">
        <f aca="false">TRUE()</f>
        <v>1</v>
      </c>
      <c r="D8" s="7" t="s">
        <v>71</v>
      </c>
      <c r="E8" s="7" t="s">
        <v>653</v>
      </c>
    </row>
    <row r="9" customFormat="false" ht="15" hidden="false" customHeight="false" outlineLevel="0" collapsed="false">
      <c r="A9" s="7" t="n">
        <v>8</v>
      </c>
      <c r="B9" s="7" t="s">
        <v>106</v>
      </c>
      <c r="C9" s="9" t="b">
        <f aca="false">TRUE()</f>
        <v>1</v>
      </c>
      <c r="D9" s="7" t="s">
        <v>71</v>
      </c>
      <c r="E9" s="7" t="s">
        <v>654</v>
      </c>
    </row>
    <row r="10" customFormat="false" ht="15" hidden="false" customHeight="false" outlineLevel="0" collapsed="false">
      <c r="A10" s="7" t="n">
        <v>9</v>
      </c>
      <c r="B10" s="7" t="s">
        <v>114</v>
      </c>
      <c r="C10" s="9" t="b">
        <f aca="false">FALSE()</f>
        <v>0</v>
      </c>
      <c r="D10" s="7" t="s">
        <v>43</v>
      </c>
      <c r="E10" s="7" t="s">
        <v>655</v>
      </c>
    </row>
    <row r="11" customFormat="false" ht="15" hidden="false" customHeight="false" outlineLevel="0" collapsed="false">
      <c r="A11" s="7" t="n">
        <v>10</v>
      </c>
      <c r="B11" s="7" t="s">
        <v>122</v>
      </c>
      <c r="C11" s="9" t="b">
        <f aca="false">TRUE()</f>
        <v>1</v>
      </c>
      <c r="D11" s="7" t="s">
        <v>62</v>
      </c>
      <c r="E11" s="7" t="s">
        <v>656</v>
      </c>
    </row>
    <row r="12" customFormat="false" ht="15" hidden="false" customHeight="false" outlineLevel="0" collapsed="false">
      <c r="A12" s="7" t="n">
        <v>11</v>
      </c>
      <c r="B12" s="7" t="s">
        <v>133</v>
      </c>
      <c r="C12" s="9" t="b">
        <f aca="false">TRUE()</f>
        <v>1</v>
      </c>
      <c r="D12" s="7" t="s">
        <v>62</v>
      </c>
      <c r="E12" s="7" t="s">
        <v>657</v>
      </c>
    </row>
    <row r="13" customFormat="false" ht="15" hidden="false" customHeight="false" outlineLevel="0" collapsed="false">
      <c r="A13" s="7" t="n">
        <v>12</v>
      </c>
      <c r="B13" s="7" t="s">
        <v>141</v>
      </c>
      <c r="C13" s="9" t="b">
        <f aca="false">TRUE()</f>
        <v>1</v>
      </c>
      <c r="D13" s="7" t="s">
        <v>49</v>
      </c>
      <c r="E13" s="7" t="s">
        <v>658</v>
      </c>
    </row>
    <row r="14" customFormat="false" ht="15" hidden="false" customHeight="false" outlineLevel="0" collapsed="false">
      <c r="A14" s="7" t="n">
        <v>13</v>
      </c>
      <c r="B14" s="7" t="s">
        <v>150</v>
      </c>
      <c r="C14" s="9" t="b">
        <f aca="false">TRUE()</f>
        <v>1</v>
      </c>
      <c r="D14" s="7" t="s">
        <v>71</v>
      </c>
      <c r="E14" s="7" t="s">
        <v>659</v>
      </c>
    </row>
    <row r="15" customFormat="false" ht="15" hidden="false" customHeight="false" outlineLevel="0" collapsed="false">
      <c r="A15" s="7" t="n">
        <v>14</v>
      </c>
      <c r="B15" s="7" t="s">
        <v>158</v>
      </c>
      <c r="C15" s="9" t="b">
        <f aca="false">TRUE()</f>
        <v>1</v>
      </c>
      <c r="D15" s="7" t="s">
        <v>62</v>
      </c>
      <c r="E15" s="7" t="s">
        <v>660</v>
      </c>
    </row>
    <row r="16" customFormat="false" ht="15" hidden="false" customHeight="false" outlineLevel="0" collapsed="false">
      <c r="A16" s="7" t="n">
        <v>15</v>
      </c>
      <c r="B16" s="7" t="s">
        <v>661</v>
      </c>
      <c r="C16" s="9" t="b">
        <f aca="false">TRUE()</f>
        <v>1</v>
      </c>
      <c r="D16" s="7" t="s">
        <v>62</v>
      </c>
      <c r="E16" s="7" t="s">
        <v>662</v>
      </c>
    </row>
    <row r="17" customFormat="false" ht="15" hidden="false" customHeight="false" outlineLevel="0" collapsed="false">
      <c r="A17" s="7" t="n">
        <v>16</v>
      </c>
      <c r="B17" s="7" t="s">
        <v>663</v>
      </c>
      <c r="C17" s="9" t="b">
        <f aca="false">TRUE()</f>
        <v>1</v>
      </c>
      <c r="D17" s="7" t="s">
        <v>62</v>
      </c>
      <c r="E17" s="7" t="s">
        <v>664</v>
      </c>
    </row>
    <row r="18" customFormat="false" ht="15" hidden="false" customHeight="false" outlineLevel="0" collapsed="false">
      <c r="A18" s="7" t="n">
        <v>17</v>
      </c>
      <c r="B18" s="7" t="s">
        <v>183</v>
      </c>
      <c r="C18" s="9" t="b">
        <f aca="false">TRUE()</f>
        <v>1</v>
      </c>
      <c r="D18" s="7" t="s">
        <v>49</v>
      </c>
      <c r="E18" s="7" t="s">
        <v>665</v>
      </c>
    </row>
    <row r="19" customFormat="false" ht="15" hidden="false" customHeight="false" outlineLevel="0" collapsed="false">
      <c r="A19" s="7" t="n">
        <v>18</v>
      </c>
      <c r="B19" s="7" t="s">
        <v>193</v>
      </c>
      <c r="C19" s="9" t="b">
        <f aca="false">TRUE()</f>
        <v>1</v>
      </c>
      <c r="D19" s="7" t="s">
        <v>49</v>
      </c>
      <c r="E19" s="7" t="s">
        <v>666</v>
      </c>
    </row>
    <row r="20" customFormat="false" ht="15" hidden="false" customHeight="false" outlineLevel="0" collapsed="false">
      <c r="A20" s="7" t="n">
        <v>19</v>
      </c>
      <c r="B20" s="7" t="s">
        <v>201</v>
      </c>
      <c r="C20" s="9" t="b">
        <f aca="false">TRUE()</f>
        <v>1</v>
      </c>
      <c r="D20" s="7" t="s">
        <v>71</v>
      </c>
      <c r="E20" s="7" t="s">
        <v>667</v>
      </c>
    </row>
    <row r="21" customFormat="false" ht="15" hidden="false" customHeight="false" outlineLevel="0" collapsed="false">
      <c r="A21" s="7" t="n">
        <v>20</v>
      </c>
      <c r="B21" s="7" t="s">
        <v>668</v>
      </c>
      <c r="C21" s="9" t="b">
        <f aca="false">TRUE()</f>
        <v>1</v>
      </c>
      <c r="D21" s="7" t="s">
        <v>62</v>
      </c>
      <c r="E21" s="7" t="s">
        <v>669</v>
      </c>
    </row>
    <row r="22" customFormat="false" ht="15" hidden="false" customHeight="false" outlineLevel="0" collapsed="false">
      <c r="A22" s="7" t="n">
        <v>21</v>
      </c>
      <c r="B22" s="7" t="s">
        <v>670</v>
      </c>
      <c r="C22" s="9" t="b">
        <f aca="false">TRUE()</f>
        <v>1</v>
      </c>
      <c r="D22" s="7" t="s">
        <v>62</v>
      </c>
      <c r="E22" s="7" t="s">
        <v>671</v>
      </c>
    </row>
    <row r="23" customFormat="false" ht="15" hidden="false" customHeight="false" outlineLevel="0" collapsed="false">
      <c r="A23" s="7" t="n">
        <v>22</v>
      </c>
      <c r="B23" s="7" t="s">
        <v>672</v>
      </c>
      <c r="C23" s="9" t="b">
        <f aca="false">TRUE()</f>
        <v>1</v>
      </c>
      <c r="D23" s="7" t="s">
        <v>62</v>
      </c>
      <c r="E23" s="7" t="s">
        <v>673</v>
      </c>
    </row>
    <row r="24" customFormat="false" ht="15" hidden="false" customHeight="false" outlineLevel="0" collapsed="false">
      <c r="A24" s="7" t="n">
        <v>23</v>
      </c>
      <c r="B24" s="7" t="s">
        <v>236</v>
      </c>
      <c r="C24" s="9" t="b">
        <f aca="false">TRUE()</f>
        <v>1</v>
      </c>
      <c r="D24" s="7" t="s">
        <v>62</v>
      </c>
      <c r="E24" s="7" t="s">
        <v>674</v>
      </c>
    </row>
    <row r="25" customFormat="false" ht="15" hidden="false" customHeight="false" outlineLevel="0" collapsed="false">
      <c r="A25" s="7" t="n">
        <v>24</v>
      </c>
      <c r="B25" s="7" t="s">
        <v>247</v>
      </c>
      <c r="C25" s="9" t="b">
        <f aca="false">TRUE()</f>
        <v>1</v>
      </c>
      <c r="D25" s="7" t="s">
        <v>62</v>
      </c>
      <c r="E25" s="7" t="s">
        <v>675</v>
      </c>
    </row>
    <row r="26" customFormat="false" ht="15" hidden="false" customHeight="false" outlineLevel="0" collapsed="false">
      <c r="A26" s="7" t="n">
        <v>25</v>
      </c>
      <c r="B26" s="7" t="s">
        <v>256</v>
      </c>
      <c r="C26" s="9" t="b">
        <f aca="false">TRUE()</f>
        <v>1</v>
      </c>
      <c r="D26" s="7" t="s">
        <v>62</v>
      </c>
      <c r="E26" s="7" t="s">
        <v>676</v>
      </c>
    </row>
    <row r="27" customFormat="false" ht="15" hidden="false" customHeight="false" outlineLevel="0" collapsed="false">
      <c r="A27" s="7" t="n">
        <v>26</v>
      </c>
      <c r="B27" s="7" t="s">
        <v>262</v>
      </c>
      <c r="C27" s="9" t="b">
        <f aca="false">TRUE()</f>
        <v>1</v>
      </c>
      <c r="D27" s="7" t="s">
        <v>71</v>
      </c>
      <c r="E27" s="7" t="s">
        <v>677</v>
      </c>
    </row>
    <row r="28" customFormat="false" ht="15" hidden="false" customHeight="false" outlineLevel="0" collapsed="false">
      <c r="A28" s="7" t="n">
        <v>27</v>
      </c>
      <c r="B28" s="7" t="s">
        <v>270</v>
      </c>
      <c r="C28" s="9" t="b">
        <f aca="false">TRUE()</f>
        <v>1</v>
      </c>
      <c r="D28" s="7" t="s">
        <v>62</v>
      </c>
      <c r="E28" s="7" t="s">
        <v>678</v>
      </c>
    </row>
    <row r="29" customFormat="false" ht="15" hidden="false" customHeight="false" outlineLevel="0" collapsed="false">
      <c r="A29" s="7" t="n">
        <v>28</v>
      </c>
      <c r="B29" s="7" t="s">
        <v>280</v>
      </c>
      <c r="C29" s="9" t="b">
        <f aca="false">TRUE()</f>
        <v>1</v>
      </c>
      <c r="D29" s="7" t="s">
        <v>62</v>
      </c>
      <c r="E29" s="7" t="s">
        <v>679</v>
      </c>
    </row>
    <row r="30" customFormat="false" ht="15" hidden="false" customHeight="false" outlineLevel="0" collapsed="false">
      <c r="A30" s="7" t="n">
        <v>29</v>
      </c>
      <c r="B30" s="7" t="s">
        <v>289</v>
      </c>
      <c r="C30" s="9" t="b">
        <f aca="false">TRUE()</f>
        <v>1</v>
      </c>
      <c r="D30" s="7" t="s">
        <v>62</v>
      </c>
      <c r="E30" s="7" t="s">
        <v>680</v>
      </c>
    </row>
    <row r="31" customFormat="false" ht="15" hidden="false" customHeight="false" outlineLevel="0" collapsed="false">
      <c r="A31" s="7" t="n">
        <v>30</v>
      </c>
      <c r="B31" s="7" t="s">
        <v>298</v>
      </c>
      <c r="C31" s="9" t="b">
        <f aca="false">TRUE()</f>
        <v>1</v>
      </c>
      <c r="D31" s="7" t="s">
        <v>62</v>
      </c>
      <c r="E31" s="7" t="s">
        <v>681</v>
      </c>
    </row>
    <row r="32" customFormat="false" ht="15" hidden="false" customHeight="false" outlineLevel="0" collapsed="false">
      <c r="A32" s="7" t="n">
        <v>31</v>
      </c>
      <c r="B32" s="7" t="s">
        <v>307</v>
      </c>
      <c r="C32" s="9" t="b">
        <f aca="false">TRUE()</f>
        <v>1</v>
      </c>
      <c r="D32" s="7" t="s">
        <v>71</v>
      </c>
      <c r="E32" s="7" t="s">
        <v>682</v>
      </c>
    </row>
    <row r="33" customFormat="false" ht="15" hidden="false" customHeight="false" outlineLevel="0" collapsed="false">
      <c r="A33" s="7" t="n">
        <v>32</v>
      </c>
      <c r="B33" s="7" t="s">
        <v>315</v>
      </c>
      <c r="C33" s="9" t="b">
        <f aca="false">TRUE()</f>
        <v>1</v>
      </c>
      <c r="D33" s="7" t="s">
        <v>71</v>
      </c>
      <c r="E33" s="7" t="s">
        <v>683</v>
      </c>
    </row>
    <row r="34" customFormat="false" ht="15" hidden="false" customHeight="false" outlineLevel="0" collapsed="false">
      <c r="A34" s="7" t="n">
        <v>33</v>
      </c>
      <c r="B34" s="7" t="s">
        <v>323</v>
      </c>
      <c r="C34" s="9" t="b">
        <f aca="false">TRUE()</f>
        <v>1</v>
      </c>
      <c r="D34" s="7" t="s">
        <v>62</v>
      </c>
      <c r="E34" s="7" t="s">
        <v>684</v>
      </c>
    </row>
    <row r="35" customFormat="false" ht="15" hidden="false" customHeight="false" outlineLevel="0" collapsed="false">
      <c r="A35" s="7" t="n">
        <v>34</v>
      </c>
      <c r="B35" s="7" t="s">
        <v>333</v>
      </c>
      <c r="C35" s="9" t="b">
        <f aca="false">TRUE()</f>
        <v>1</v>
      </c>
      <c r="D35" s="7" t="s">
        <v>71</v>
      </c>
      <c r="E35" s="7" t="s">
        <v>685</v>
      </c>
    </row>
    <row r="36" customFormat="false" ht="15" hidden="false" customHeight="false" outlineLevel="0" collapsed="false">
      <c r="A36" s="7" t="n">
        <v>35</v>
      </c>
      <c r="B36" s="7" t="s">
        <v>340</v>
      </c>
      <c r="C36" s="9" t="b">
        <f aca="false">TRUE()</f>
        <v>1</v>
      </c>
      <c r="D36" s="7" t="s">
        <v>62</v>
      </c>
      <c r="E36" s="7" t="s">
        <v>686</v>
      </c>
    </row>
    <row r="37" customFormat="false" ht="15" hidden="false" customHeight="false" outlineLevel="0" collapsed="false">
      <c r="A37" s="7" t="n">
        <v>36</v>
      </c>
      <c r="B37" s="7" t="s">
        <v>349</v>
      </c>
      <c r="C37" s="9" t="b">
        <f aca="false">TRUE()</f>
        <v>1</v>
      </c>
      <c r="D37" s="7" t="s">
        <v>62</v>
      </c>
      <c r="E37" s="7" t="s">
        <v>687</v>
      </c>
    </row>
    <row r="38" customFormat="false" ht="15" hidden="false" customHeight="false" outlineLevel="0" collapsed="false">
      <c r="A38" s="7" t="n">
        <v>37</v>
      </c>
      <c r="B38" s="7" t="s">
        <v>356</v>
      </c>
      <c r="C38" s="9" t="b">
        <f aca="false">TRUE()</f>
        <v>1</v>
      </c>
      <c r="D38" s="7" t="s">
        <v>62</v>
      </c>
      <c r="E38" s="7" t="s">
        <v>688</v>
      </c>
    </row>
    <row r="39" customFormat="false" ht="15" hidden="false" customHeight="false" outlineLevel="0" collapsed="false">
      <c r="A39" s="7" t="n">
        <v>38</v>
      </c>
      <c r="B39" s="7" t="s">
        <v>366</v>
      </c>
      <c r="C39" s="9" t="b">
        <f aca="false">TRUE()</f>
        <v>1</v>
      </c>
      <c r="D39" s="7" t="s">
        <v>62</v>
      </c>
      <c r="E39" s="7" t="s">
        <v>689</v>
      </c>
    </row>
    <row r="40" customFormat="false" ht="15" hidden="false" customHeight="false" outlineLevel="0" collapsed="false">
      <c r="A40" s="7" t="n">
        <v>39</v>
      </c>
      <c r="B40" s="7" t="s">
        <v>374</v>
      </c>
      <c r="C40" s="9" t="b">
        <f aca="false">TRUE()</f>
        <v>1</v>
      </c>
      <c r="D40" s="7" t="s">
        <v>62</v>
      </c>
      <c r="E40" s="7" t="s">
        <v>690</v>
      </c>
    </row>
    <row r="41" customFormat="false" ht="15" hidden="false" customHeight="false" outlineLevel="0" collapsed="false">
      <c r="A41" s="7" t="n">
        <v>40</v>
      </c>
      <c r="B41" s="7" t="s">
        <v>382</v>
      </c>
      <c r="C41" s="9" t="b">
        <f aca="false">TRUE()</f>
        <v>1</v>
      </c>
      <c r="D41" s="7" t="s">
        <v>62</v>
      </c>
      <c r="E41" s="7" t="s">
        <v>691</v>
      </c>
    </row>
    <row r="42" customFormat="false" ht="15" hidden="false" customHeight="false" outlineLevel="0" collapsed="false">
      <c r="A42" s="7" t="n">
        <v>41</v>
      </c>
      <c r="B42" s="7" t="s">
        <v>390</v>
      </c>
      <c r="C42" s="9" t="b">
        <f aca="false">TRUE()</f>
        <v>1</v>
      </c>
      <c r="D42" s="7" t="s">
        <v>62</v>
      </c>
      <c r="E42" s="7" t="s">
        <v>692</v>
      </c>
    </row>
    <row r="43" customFormat="false" ht="15" hidden="false" customHeight="false" outlineLevel="0" collapsed="false">
      <c r="A43" s="7" t="n">
        <v>42</v>
      </c>
      <c r="B43" s="7" t="s">
        <v>398</v>
      </c>
      <c r="C43" s="9" t="b">
        <f aca="false">TRUE()</f>
        <v>1</v>
      </c>
      <c r="D43" s="7" t="s">
        <v>71</v>
      </c>
      <c r="E43" s="7" t="s">
        <v>693</v>
      </c>
    </row>
    <row r="44" customFormat="false" ht="15" hidden="false" customHeight="false" outlineLevel="0" collapsed="false">
      <c r="A44" s="7" t="n">
        <v>43</v>
      </c>
      <c r="B44" s="7" t="s">
        <v>406</v>
      </c>
      <c r="C44" s="9" t="b">
        <f aca="false">TRUE()</f>
        <v>1</v>
      </c>
      <c r="D44" s="7" t="s">
        <v>62</v>
      </c>
      <c r="E44" s="7" t="s">
        <v>694</v>
      </c>
    </row>
    <row r="45" customFormat="false" ht="15" hidden="false" customHeight="false" outlineLevel="0" collapsed="false">
      <c r="A45" s="7" t="n">
        <v>44</v>
      </c>
      <c r="B45" s="7" t="s">
        <v>414</v>
      </c>
      <c r="C45" s="9" t="b">
        <f aca="false">TRUE()</f>
        <v>1</v>
      </c>
      <c r="D45" s="7" t="s">
        <v>62</v>
      </c>
      <c r="E45" s="7" t="s">
        <v>695</v>
      </c>
    </row>
    <row r="46" customFormat="false" ht="15" hidden="false" customHeight="false" outlineLevel="0" collapsed="false">
      <c r="A46" s="7" t="n">
        <v>45</v>
      </c>
      <c r="B46" s="7" t="s">
        <v>424</v>
      </c>
      <c r="C46" s="9" t="b">
        <f aca="false">TRUE()</f>
        <v>1</v>
      </c>
      <c r="D46" s="7" t="s">
        <v>62</v>
      </c>
      <c r="E46" s="7" t="s">
        <v>696</v>
      </c>
    </row>
    <row r="47" customFormat="false" ht="15" hidden="false" customHeight="false" outlineLevel="0" collapsed="false">
      <c r="A47" s="7" t="n">
        <v>46</v>
      </c>
      <c r="B47" s="7" t="s">
        <v>433</v>
      </c>
      <c r="C47" s="9" t="b">
        <f aca="false">TRUE()</f>
        <v>1</v>
      </c>
      <c r="D47" s="7" t="s">
        <v>71</v>
      </c>
      <c r="E47" s="7" t="s">
        <v>697</v>
      </c>
    </row>
    <row r="48" customFormat="false" ht="15" hidden="false" customHeight="false" outlineLevel="0" collapsed="false">
      <c r="A48" s="7" t="n">
        <v>47</v>
      </c>
      <c r="B48" s="7" t="s">
        <v>698</v>
      </c>
      <c r="C48" s="9" t="b">
        <f aca="false">TRUE()</f>
        <v>1</v>
      </c>
      <c r="D48" s="7" t="s">
        <v>62</v>
      </c>
      <c r="E48" s="7" t="s">
        <v>699</v>
      </c>
    </row>
    <row r="49" customFormat="false" ht="15" hidden="false" customHeight="false" outlineLevel="0" collapsed="false">
      <c r="A49" s="7" t="n">
        <v>48</v>
      </c>
      <c r="B49" s="7" t="s">
        <v>451</v>
      </c>
      <c r="C49" s="9" t="b">
        <f aca="false">TRUE()</f>
        <v>1</v>
      </c>
      <c r="D49" s="7" t="s">
        <v>62</v>
      </c>
      <c r="E49" s="7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2026-05-25T07:04:10Z</dcterms:created>
  <dc:creator>openpyxl</dc:creator>
  <dc:description/>
  <dc:language>en-US</dc:language>
  <cp:lastModifiedBy/>
  <dcterms:modified xsi:type="dcterms:W3CDTF">2026-05-26T01:13:23Z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